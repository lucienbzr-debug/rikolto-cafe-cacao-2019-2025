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bzr\Desktop\Base des données Café cacao\rikolto-cafe-cacao-2019-2025\livrables\"/>
    </mc:Choice>
  </mc:AlternateContent>
  <xr:revisionPtr revIDLastSave="0" documentId="13_ncr:1_{A01498EB-2D7A-4D76-A26F-AE37357F185D}" xr6:coauthVersionLast="47" xr6:coauthVersionMax="47" xr10:uidLastSave="{00000000-0000-0000-0000-000000000000}"/>
  <bookViews>
    <workbookView xWindow="29760" yWindow="960" windowWidth="21600" windowHeight="11235" activeTab="1" xr2:uid="{00000000-000D-0000-FFFF-FFFF00000000}"/>
  </bookViews>
  <sheets>
    <sheet name="Lisez-moi" sheetId="1" r:id="rId1"/>
    <sheet name="Dashboard" sheetId="2" r:id="rId2"/>
    <sheet name="Séries" sheetId="3" r:id="rId3"/>
    <sheet name="Café_données" sheetId="4" r:id="rId4"/>
    <sheet name="Cacao_ménages" sheetId="5" r:id="rId5"/>
    <sheet name="Okapi" sheetId="6" r:id="rId6"/>
    <sheet name="Qualité" sheetId="7" r:id="rId7"/>
    <sheet name="Paramètres" sheetId="8" r:id="rId8"/>
  </sheets>
  <definedNames>
    <definedName name="_xlnm._FilterDatabase" localSheetId="4" hidden="1">Cacao_ménages!$A$2:$U$90</definedName>
    <definedName name="_xlnm._FilterDatabase" localSheetId="3" hidden="1">Café_données!$A$2:$T$22</definedName>
    <definedName name="_xlnm._FilterDatabase" localSheetId="6" hidden="1">Qualité!$A$3:$I$26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7" l="1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D9" i="6"/>
  <c r="E9" i="6" s="1"/>
  <c r="C9" i="6"/>
  <c r="B9" i="6"/>
  <c r="F8" i="6"/>
  <c r="E8" i="6"/>
  <c r="F7" i="6"/>
  <c r="E7" i="6"/>
  <c r="F6" i="6"/>
  <c r="E6" i="6"/>
  <c r="F5" i="6"/>
  <c r="E5" i="6"/>
  <c r="F4" i="6"/>
  <c r="E4" i="6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B3" i="3" s="1"/>
  <c r="T3" i="4"/>
  <c r="J22" i="3"/>
  <c r="I22" i="3"/>
  <c r="H22" i="3"/>
  <c r="G22" i="3"/>
  <c r="F22" i="3"/>
  <c r="E22" i="3"/>
  <c r="D22" i="3"/>
  <c r="C22" i="3"/>
  <c r="B22" i="3"/>
  <c r="J21" i="3" a="1"/>
  <c r="J21" i="3" s="1"/>
  <c r="I21" i="3" a="1"/>
  <c r="I21" i="3" s="1"/>
  <c r="H21" i="3" a="1"/>
  <c r="H21" i="3" s="1"/>
  <c r="G21" i="3"/>
  <c r="F21" i="3"/>
  <c r="E21" i="3"/>
  <c r="D21" i="3"/>
  <c r="C21" i="3" a="1"/>
  <c r="C21" i="3" s="1"/>
  <c r="B21" i="3"/>
  <c r="J20" i="3" a="1"/>
  <c r="J20" i="3" s="1"/>
  <c r="I20" i="3" a="1"/>
  <c r="I20" i="3"/>
  <c r="H20" i="3" a="1"/>
  <c r="H20" i="3" s="1"/>
  <c r="G20" i="3"/>
  <c r="F20" i="3"/>
  <c r="E20" i="3"/>
  <c r="D20" i="3"/>
  <c r="C20" i="3" a="1"/>
  <c r="C20" i="3" s="1"/>
  <c r="B20" i="3"/>
  <c r="J19" i="3" a="1"/>
  <c r="J19" i="3" s="1"/>
  <c r="I19" i="3" a="1"/>
  <c r="I19" i="3" s="1"/>
  <c r="H19" i="3" a="1"/>
  <c r="H19" i="3" s="1"/>
  <c r="G19" i="3"/>
  <c r="F19" i="3"/>
  <c r="E19" i="3"/>
  <c r="D19" i="3"/>
  <c r="C19" i="3" a="1"/>
  <c r="C19" i="3" s="1"/>
  <c r="B19" i="3"/>
  <c r="J18" i="3" a="1"/>
  <c r="J18" i="3" s="1"/>
  <c r="I18" i="3" a="1"/>
  <c r="I18" i="3" s="1"/>
  <c r="H18" i="3" a="1"/>
  <c r="H18" i="3" s="1"/>
  <c r="G18" i="3"/>
  <c r="F18" i="3"/>
  <c r="E18" i="3"/>
  <c r="D18" i="3"/>
  <c r="C18" i="3" a="1"/>
  <c r="C18" i="3" s="1"/>
  <c r="B18" i="3"/>
  <c r="M13" i="3"/>
  <c r="D13" i="3"/>
  <c r="C13" i="3"/>
  <c r="M12" i="3"/>
  <c r="D12" i="3"/>
  <c r="C12" i="3"/>
  <c r="M11" i="3"/>
  <c r="D11" i="3"/>
  <c r="C11" i="3"/>
  <c r="M10" i="3"/>
  <c r="D10" i="3"/>
  <c r="C10" i="3"/>
  <c r="M9" i="3"/>
  <c r="D9" i="3"/>
  <c r="C9" i="3"/>
  <c r="M8" i="3"/>
  <c r="D8" i="3"/>
  <c r="C8" i="3"/>
  <c r="M7" i="3"/>
  <c r="D7" i="3"/>
  <c r="C7" i="3"/>
  <c r="B2" i="3"/>
  <c r="J13" i="3" s="1"/>
  <c r="B1" i="3"/>
  <c r="E75" i="2" s="1"/>
  <c r="F75" i="2"/>
  <c r="K17" i="2"/>
  <c r="J17" i="2"/>
  <c r="I17" i="2"/>
  <c r="H17" i="2"/>
  <c r="G17" i="2"/>
  <c r="F17" i="2" a="1"/>
  <c r="F17" i="2" s="1"/>
  <c r="E17" i="2"/>
  <c r="D17" i="2"/>
  <c r="C17" i="2"/>
  <c r="B17" i="2"/>
  <c r="J12" i="2"/>
  <c r="I12" i="2"/>
  <c r="B12" i="2"/>
  <c r="K9" i="2"/>
  <c r="J9" i="2"/>
  <c r="I9" i="2"/>
  <c r="B9" i="2"/>
  <c r="H74" i="2" l="1"/>
  <c r="H71" i="2"/>
  <c r="H75" i="2"/>
  <c r="H73" i="2"/>
  <c r="G73" i="2"/>
  <c r="J7" i="3"/>
  <c r="E10" i="3"/>
  <c r="H13" i="3"/>
  <c r="C12" i="2"/>
  <c r="I13" i="3"/>
  <c r="B9" i="3"/>
  <c r="G75" i="2"/>
  <c r="J8" i="3"/>
  <c r="E11" i="3"/>
  <c r="F12" i="3"/>
  <c r="H7" i="3"/>
  <c r="B10" i="3"/>
  <c r="G12" i="3"/>
  <c r="G71" i="2"/>
  <c r="F73" i="2"/>
  <c r="I7" i="3"/>
  <c r="F71" i="2"/>
  <c r="G11" i="3"/>
  <c r="I12" i="3"/>
  <c r="F9" i="6"/>
  <c r="D12" i="2"/>
  <c r="B8" i="3"/>
  <c r="F10" i="3"/>
  <c r="J12" i="3"/>
  <c r="C72" i="2"/>
  <c r="C74" i="2"/>
  <c r="H11" i="3"/>
  <c r="E9" i="3"/>
  <c r="G10" i="3"/>
  <c r="I11" i="3"/>
  <c r="F72" i="2"/>
  <c r="F74" i="2"/>
  <c r="B7" i="3"/>
  <c r="J11" i="3"/>
  <c r="D72" i="2"/>
  <c r="D74" i="2"/>
  <c r="E12" i="2"/>
  <c r="E72" i="2"/>
  <c r="E74" i="2"/>
  <c r="F9" i="3"/>
  <c r="B13" i="3"/>
  <c r="D9" i="2"/>
  <c r="G12" i="2"/>
  <c r="G72" i="2"/>
  <c r="G74" i="2"/>
  <c r="E8" i="3"/>
  <c r="G9" i="3"/>
  <c r="I10" i="3"/>
  <c r="E9" i="2"/>
  <c r="H72" i="2"/>
  <c r="C9" i="2"/>
  <c r="F12" i="2"/>
  <c r="H10" i="3"/>
  <c r="F8" i="3"/>
  <c r="H9" i="3"/>
  <c r="J10" i="3"/>
  <c r="B12" i="3"/>
  <c r="F9" i="2"/>
  <c r="C71" i="2"/>
  <c r="C73" i="2"/>
  <c r="C75" i="2"/>
  <c r="E7" i="3"/>
  <c r="G8" i="3"/>
  <c r="I9" i="3"/>
  <c r="E13" i="3"/>
  <c r="D71" i="2"/>
  <c r="D73" i="2"/>
  <c r="D75" i="2"/>
  <c r="F7" i="3"/>
  <c r="H8" i="3"/>
  <c r="J9" i="3"/>
  <c r="B11" i="3"/>
  <c r="F13" i="3"/>
  <c r="G9" i="2"/>
  <c r="E71" i="2"/>
  <c r="E73" i="2"/>
  <c r="G7" i="3"/>
  <c r="I8" i="3"/>
  <c r="E12" i="3"/>
  <c r="G13" i="3"/>
  <c r="F11" i="3"/>
  <c r="H12" i="3"/>
</calcChain>
</file>

<file path=xl/sharedStrings.xml><?xml version="1.0" encoding="utf-8"?>
<sst xmlns="http://schemas.openxmlformats.org/spreadsheetml/2006/main" count="557" uniqueCount="242">
  <si>
    <t>Rikolto RDC · Café &amp; Cacao — Tableau de bord direction</t>
  </si>
  <si>
    <t>Campagnes café 2019-2025 · enquête revenu vital cacao, mars 2024 · seuil Anker RDC rurale 2025. Analyse septembre 2026.</t>
  </si>
  <si>
    <t>Campagne</t>
  </si>
  <si>
    <t>Toutes</t>
  </si>
  <si>
    <t>Choisissez une campagne et une coopérative dans les cellules jaunes : les indicateurs café et le profil des coopératives se recalculent. Les graphiques par campagne suivent le filtre Coopérative.</t>
  </si>
  <si>
    <t>Coopérative</t>
  </si>
  <si>
    <t>Café · bénéficiaires et économie (selon les filtres)</t>
  </si>
  <si>
    <t>Personnes</t>
  </si>
  <si>
    <t>Inscriptions</t>
  </si>
  <si>
    <t>Nouveaux producteurs</t>
  </si>
  <si>
    <t>Rétention vs N-1</t>
  </si>
  <si>
    <t>Femmes</t>
  </si>
  <si>
    <t>Jeunes 15-35 ans</t>
  </si>
  <si>
    <t>Contrôles qualité</t>
  </si>
  <si>
    <t>Critiques</t>
  </si>
  <si>
    <t>Gravité élevée</t>
  </si>
  <si>
    <t>Identifiant longitudinal</t>
  </si>
  <si>
    <t>1 ligne = 1 producteur × campagne</t>
  </si>
  <si>
    <t>Dernière campagne sélectionnée ; – si OP nouvelle</t>
  </si>
  <si>
    <t>Rapporté à tous les producteurs</t>
  </si>
  <si>
    <t>Registre complet : onglet Qualité</t>
  </si>
  <si>
    <t>Superficie déclarée (ha)</t>
  </si>
  <si>
    <t>Superficie moyenne (ha)</t>
  </si>
  <si>
    <t>Certifiés conformes</t>
  </si>
  <si>
    <t>Production estimée (t cerise)</t>
  </si>
  <si>
    <t>CA estimé (M USD)</t>
  </si>
  <si>
    <t>Marge estimée / producteur (USD)</t>
  </si>
  <si>
    <t>Territoire renseigné (café)</t>
  </si>
  <si>
    <t>Cartes en doublon (café)</t>
  </si>
  <si>
    <t>Donnée déclarée, la plus fiable</t>
  </si>
  <si>
    <t>ESTIMÉE par paramètres fixes</t>
  </si>
  <si>
    <t>ESTIMÉ : production × 0,55 USD/kg</t>
  </si>
  <si>
    <t>Forfait : 60 % du CA</t>
  </si>
  <si>
    <t>Toutes campagnes</t>
  </si>
  <si>
    <t>Cacao · revenu des ménages et écart au revenu vital (88 ménages)</t>
  </si>
  <si>
    <t>Revenu net médian (USD/an)</t>
  </si>
  <si>
    <t>Seuil revenu vital (USD/an)</t>
  </si>
  <si>
    <t>Au-dessus du seuil (réf.)</t>
  </si>
  <si>
    <t>Au-dessus du seuil ajusté</t>
  </si>
  <si>
    <t>Écart médian au seuil ajusté (USD)</t>
  </si>
  <si>
    <t>Revenu / pers. / jour (USD)</t>
  </si>
  <si>
    <t>Part du cacao dans le revenu</t>
  </si>
  <si>
    <t>Sous 2,15 USD/pers./jour</t>
  </si>
  <si>
    <t>Dépenses &gt; revenu</t>
  </si>
  <si>
    <t>Personnes par ménage</t>
  </si>
  <si>
    <t>Anker 2025, ménage de 6</t>
  </si>
  <si>
    <t>Seuil proportionnel à la taille</t>
  </si>
  <si>
    <t>Ménages sous le seuil</t>
  </si>
  <si>
    <t>Médiane</t>
  </si>
  <si>
    <t>Contre 6 (référence)</t>
  </si>
  <si>
    <t>Profil des coopératives (selon le filtre Campagne)</t>
  </si>
  <si>
    <t>Producteurs</t>
  </si>
  <si>
    <t>Jeunes 15-35</t>
  </si>
  <si>
    <t>Ha moyen</t>
  </si>
  <si>
    <t>CKK</t>
  </si>
  <si>
    <t>COOKKANZ</t>
  </si>
  <si>
    <t>COOKURU</t>
  </si>
  <si>
    <t>COOPADE</t>
  </si>
  <si>
    <t>Ensemble</t>
  </si>
  <si>
    <t>En rouge : femmes sous 15 % ou jeunes sous 30 %. Rétention = producteurs de N-1 présents en N, sur la dernière campagne sélectionnée ; « – » pour une OP nouvelle.</t>
  </si>
  <si>
    <t>Messages clés et avertissement</t>
  </si>
  <si>
    <t>1. Couverture : 12 184 producteurs café en 2025 (×3,2 depuis 2019), 25,6 % de femmes et 44,7 % de jeunes ; la hausse vient surtout de COOPADE et COOKURU (+68 % pour CKK et COOKKANZ).</t>
  </si>
  <si>
    <t>2. Revenu cacao : revenu net médian de 3 301 USD/an ; 59 % des ménages dépassent le seuil de référence, 40 % seulement une fois le seuil ajusté à la taille des ménages (10,3 personnes).</t>
  </si>
  <si>
    <t>3. Vulnérabilité : 87 % du revenu vient du cacao et 80 % des ménages vivent avec moins de 2,15 USD par personne et par jour.</t>
  </si>
  <si>
    <t>4. Données : production, CA et marge café sont calculés par paramètres fixes et ne mesurent pas l'impact. Collecter les ventes réelles par producteur est la priorité.</t>
  </si>
  <si>
    <t>Sources : base consolidée Rikolto café 2019-2025 (42 433 lignes) ; enquête Living Income Cacao Okapi (88 ménages, mars 2024) ; Anker Research Institute (2025) ; Banque mondiale.</t>
  </si>
  <si>
    <t>Rikolto RDC · Café &amp; Cacao — classeur du tableau de bord</t>
  </si>
  <si>
    <t>Version Excel du dashboard Power BI (5 pages), préparée en septembre 2026.</t>
  </si>
  <si>
    <t>Comment l'utiliser</t>
  </si>
  <si>
    <t>• Onglet Dashboard : choisissez une campagne et une coopérative dans les cellules jaunes C4 et C5. Tous les indicateurs café se recalculent.</t>
  </si>
  <si>
    <t>• Les graphiques par campagne suivent le filtre Coopérative. Les indicateurs cacao portent sur les 88 ménages de l'enquête.</t>
  </si>
  <si>
    <t>• Texte bleu = donnée source (à ne modifier qu'en cas de correction de la base). Texte noir = formule.</t>
  </si>
  <si>
    <t>Onglets</t>
  </si>
  <si>
    <t>• Dashboard : indicateurs clés, 6 graphiques, profil des coopératives et messages clés.</t>
  </si>
  <si>
    <t>• Séries : tables calculées qui alimentent les graphiques (par campagne, par section, composition du revenu).</t>
  </si>
  <si>
    <t>• Café_données : base café agrégée par campagne et coopérative (20 lignes issues des 42 433 lignes producteurs).</t>
  </si>
  <si>
    <t>• Cacao_ménages : les 88 ménages de l'enquête revenu vital, une ligne par ménage.</t>
  </si>
  <si>
    <t>• Okapi : liste des 301 planteurs agrégée par section. • Qualité : registre des 23 contrôles. • Paramètres : seuils et sources.</t>
  </si>
  <si>
    <t>Définitions et avertissements</t>
  </si>
  <si>
    <t>• Jeunes = producteurs de 15 à 35 ans, rapportés à l'ensemble des producteurs (même définition que le rapport et Power BI).</t>
  </si>
  <si>
    <t>• Rétention = producteurs de N-1 présents en N, calculée sur la dernière campagne sélectionnée ; non calculée si la coopérative avait moins de 30 producteurs en N-1.</t>
  </si>
  <si>
    <t>• Seuil ajusté = seuil Anker proportionnel à la taille réelle du ménage (438 USD par personne et par an).</t>
  </si>
  <si>
    <t>• Production, chiffre d'affaires et marge café sont ESTIMÉS par paramètres fixes (densité, rendement par pied, prix unique de 0,55 USD/kg, marge forfaitaire de 60 %). Ils ne mesurent pas un revenu réel.</t>
  </si>
  <si>
    <t>• Enquête cacao : 88 ménages dont 6 dirigés par des femmes ; résultats indicatifs, à ne pas extrapoler par sous-groupe.</t>
  </si>
  <si>
    <t>Critère campagne</t>
  </si>
  <si>
    <t>Critère coopérative</t>
  </si>
  <si>
    <t>Dernière campagne sélectionnée</t>
  </si>
  <si>
    <t>Café par campagne (suit le filtre Coopérative)</t>
  </si>
  <si>
    <t>Composition du revenu net (88 ménages)</t>
  </si>
  <si>
    <t>CKK + COOKKANZ</t>
  </si>
  <si>
    <t>COOPADE + COOKURU</t>
  </si>
  <si>
    <t>Superficie (ha)</t>
  </si>
  <si>
    <t>Production estimée (t)</t>
  </si>
  <si>
    <t>Marge estimée / producteur</t>
  </si>
  <si>
    <t>Source</t>
  </si>
  <si>
    <t>Part du revenu net</t>
  </si>
  <si>
    <t>2019</t>
  </si>
  <si>
    <t>Autres cultures vivrières</t>
  </si>
  <si>
    <t>2020</t>
  </si>
  <si>
    <t>Café</t>
  </si>
  <si>
    <t>2021</t>
  </si>
  <si>
    <t>Élevage</t>
  </si>
  <si>
    <t>2022</t>
  </si>
  <si>
    <t>Transferts et autres</t>
  </si>
  <si>
    <t>2023</t>
  </si>
  <si>
    <t>Activités hors ferme</t>
  </si>
  <si>
    <t>2024</t>
  </si>
  <si>
    <t>Agroforesterie</t>
  </si>
  <si>
    <t>2025</t>
  </si>
  <si>
    <t>Cacao</t>
  </si>
  <si>
    <t>Cacao par section</t>
  </si>
  <si>
    <t>Section</t>
  </si>
  <si>
    <t>Ménages</t>
  </si>
  <si>
    <t>Revenu net médian</t>
  </si>
  <si>
    <t>Seuil de référence</t>
  </si>
  <si>
    <t>Au-dessus seuil réf.</t>
  </si>
  <si>
    <t>Au-dessus seuil ajusté</t>
  </si>
  <si>
    <t>Taille moyenne</t>
  </si>
  <si>
    <t>Ha cacao médian</t>
  </si>
  <si>
    <t>Rendement médian (kg/ha)</t>
  </si>
  <si>
    <t>Prix médian (USD/kg)</t>
  </si>
  <si>
    <t>Babungwe</t>
  </si>
  <si>
    <t>Mambasa</t>
  </si>
  <si>
    <t>Mayuano</t>
  </si>
  <si>
    <t>Mungamba</t>
  </si>
  <si>
    <t>Personnes uniques (identifiant longitudinal)</t>
  </si>
  <si>
    <t>Campagne \ OP</t>
  </si>
  <si>
    <t>Base café agrégée par campagne et coopérative (source : fact_cafe_producteurs.csv, 42 433 lignes)</t>
  </si>
  <si>
    <t>Producteurs (inscriptions)</t>
  </si>
  <si>
    <t>Âge connu</t>
  </si>
  <si>
    <t>CA estimé (USD)</t>
  </si>
  <si>
    <t>Marge estimée (USD)</t>
  </si>
  <si>
    <t>Conforme</t>
  </si>
  <si>
    <t>En conversion</t>
  </si>
  <si>
    <t>Non conforme</t>
  </si>
  <si>
    <t>Non renseigné</t>
  </si>
  <si>
    <t>Nouveaux</t>
  </si>
  <si>
    <t>Présents en N-1</t>
  </si>
  <si>
    <t>Territoire renseigné</t>
  </si>
  <si>
    <t>Carte en doublon</t>
  </si>
  <si>
    <t>Personnes uniques</t>
  </si>
  <si>
    <t>Année (nombre)</t>
  </si>
  <si>
    <t>Enquête Living Income Cacao Okapi, mars 2024 : 88 ménages valides (source : fact_cacao_menages.csv)</t>
  </si>
  <si>
    <t>ID ménage</t>
  </si>
  <si>
    <t>Sexe du chef</t>
  </si>
  <si>
    <t>Taille du ménage</t>
  </si>
  <si>
    <t>Superficie cacao (ha)</t>
  </si>
  <si>
    <t>Rendement (kg/ha)</t>
  </si>
  <si>
    <t>Prix (USD/kg)</t>
  </si>
  <si>
    <t>Revenu net total (USD/an)</t>
  </si>
  <si>
    <t>Seuil ajusté à la taille (USD/an)</t>
  </si>
  <si>
    <t>Atteint seuil réf. (1/0)</t>
  </si>
  <si>
    <t>Atteint seuil ajusté (1/0)</t>
  </si>
  <si>
    <t>Solde revenu − dépenses (USD)</t>
  </si>
  <si>
    <t>Revenu cacao</t>
  </si>
  <si>
    <t>Revenu café</t>
  </si>
  <si>
    <t>Valeur extrême (1/0)</t>
  </si>
  <si>
    <t>Homme</t>
  </si>
  <si>
    <t>Femme</t>
  </si>
  <si>
    <t>Revenu net = somme des 7 sources. La variable « living_income » du questionnaire vaut revenu − dépenses : elle n'est pas utilisée comme revenu.</t>
  </si>
  <si>
    <t>Base planteurs Cacao Okapi (301 planteurs, liste 2024)</t>
  </si>
  <si>
    <t>Planteurs</t>
  </si>
  <si>
    <t>Superficie totale (ha)</t>
  </si>
  <si>
    <t>Ha cacao / planteur</t>
  </si>
  <si>
    <t>Part du foncier en cacao</t>
  </si>
  <si>
    <t>Bahaha</t>
  </si>
  <si>
    <t>Kilimamwenza</t>
  </si>
  <si>
    <t>Total</t>
  </si>
  <si>
    <t>Nombre de tiges estimé (≈ superficie × 1 100) pour 76 % des planteurs : à recompter lors du prochain inventaire.</t>
  </si>
  <si>
    <t>Registre des contrôles qualité — base du PV de validation</t>
  </si>
  <si>
    <t>Avis proposé : validation partielle. Valider la base café comme référentiel des bénéficiaires, pas pour ses indicateurs économiques.</t>
  </si>
  <si>
    <t>ID</t>
  </si>
  <si>
    <t>Base</t>
  </si>
  <si>
    <t>Dimension</t>
  </si>
  <si>
    <t>Contrôle</t>
  </si>
  <si>
    <t>Anomalies</t>
  </si>
  <si>
    <t>Total contrôlé</t>
  </si>
  <si>
    <t>Taux</t>
  </si>
  <si>
    <t>Gravité</t>
  </si>
  <si>
    <t>Impact / commentaire</t>
  </si>
  <si>
    <t>Café Rikolto</t>
  </si>
  <si>
    <t>Validité</t>
  </si>
  <si>
    <t>Production = superficie × densité × rendement/pied (paramètres fixes)</t>
  </si>
  <si>
    <t>Critique</t>
  </si>
  <si>
    <t>Production estimée, non mesurée</t>
  </si>
  <si>
    <t>Chiffre d'affaires = production × 0,55 USD (prix unique 2019-2025)</t>
  </si>
  <si>
    <t>Le CA ne reflète pas les prix réels</t>
  </si>
  <si>
    <t>Coût = 40 % du CA et marge = 60 % du CA</t>
  </si>
  <si>
    <t>Marge forfaitaire, pas de coûts réels</t>
  </si>
  <si>
    <t>Cacao LI</t>
  </si>
  <si>
    <t>Variable « living_income » = revenu − dépenses (et non le revenu)</t>
  </si>
  <si>
    <t>Mal nommée : sous-estime fortement le revenu si lue telle quelle</t>
  </si>
  <si>
    <t>Complétude</t>
  </si>
  <si>
    <t>Territoire manquant</t>
  </si>
  <si>
    <t>Élevée</t>
  </si>
  <si>
    <t>Empêche une analyse géographique fiable</t>
  </si>
  <si>
    <t>Statut de certification manquant</t>
  </si>
  <si>
    <t>Concentré sur 2022 et 2024</t>
  </si>
  <si>
    <t>Unicité</t>
  </si>
  <si>
    <t>N° de carte membre en doublon sur une même campagne</t>
  </si>
  <si>
    <t>Risque de double comptage ou cartes réattribuées</t>
  </si>
  <si>
    <t>« Prix unitaire » identique au taux de transformation cerise→parche</t>
  </si>
  <si>
    <t>Colonne probablement mal alimentée</t>
  </si>
  <si>
    <t>Cohérence</t>
  </si>
  <si>
    <t>Marge/ha négative alors que la marge totale est positive</t>
  </si>
  <si>
    <t>Deux modèles économiques contradictoires (2019-2020)</t>
  </si>
  <si>
    <t>Rupture de série 2024 : +4 922 nouveaux producteurs</t>
  </si>
  <si>
    <t>Intégration de COOPADE puis COOKURU (2025)</t>
  </si>
  <si>
    <t>Représentativité</t>
  </si>
  <si>
    <t>Échantillon de 88 ménages dont 6 femmes</t>
  </si>
  <si>
    <t>Résultats indicatifs ; ne pas extrapoler par sous-groupe</t>
  </si>
  <si>
    <t>Collectivité manquante</t>
  </si>
  <si>
    <t>Moyenne</t>
  </si>
  <si>
    <t>Village manquant</t>
  </si>
  <si>
    <t>Âge incohérent d'une année à l'autre (écart &gt; 2 ans)</t>
  </si>
  <si>
    <t>L'identifiant longitudinal peut regrouper des personnes différentes</t>
  </si>
  <si>
    <t>Petite + grande saison ≠ production totale</t>
  </si>
  <si>
    <t>Valeurs extrêmes (revenu, rendement ou prix)</t>
  </si>
  <si>
    <t>Ex. 44 ha, 15 t, revenu 59 705 USD : à vérifier sur le terrain</t>
  </si>
  <si>
    <t>Cacao Okapi</t>
  </si>
  <si>
    <t>Code planteur en doublon</t>
  </si>
  <si>
    <t>Superficie cacao &gt; superficie totale</t>
  </si>
  <si>
    <t>Nb de tiges ≈ superficie × 1 100 (estimé, non compté)</t>
  </si>
  <si>
    <t>Année d'adhésion à l'OP manquante</t>
  </si>
  <si>
    <t>Faible</t>
  </si>
  <si>
    <t>Âge manquant</t>
  </si>
  <si>
    <t>Questionnaires sans consentement / vides</t>
  </si>
  <si>
    <t>Exclus de l'analyse</t>
  </si>
  <si>
    <t>Noms de municipalité non normalisés (Mambas, Mayuwano…)</t>
  </si>
  <si>
    <t>Corrigés</t>
  </si>
  <si>
    <t>Détail : data/qualite_controles.csv. Le taux se recalcule à partir des colonnes Anomalies et Total.</t>
  </si>
  <si>
    <t>Paramètres utilisés</t>
  </si>
  <si>
    <t>Paramètre</t>
  </si>
  <si>
    <t>Valeur</t>
  </si>
  <si>
    <t>Seuil revenu vital ménage (USD/an)</t>
  </si>
  <si>
    <t>Anker Research Institute, Living Income Reference Value RDC rurale, mise à jour 2025 (219 USD/mois, ménage de référence 6 personnes)</t>
  </si>
  <si>
    <t>Taille ménage de référence</t>
  </si>
  <si>
    <t>Anker Research Institute, rapport 2021</t>
  </si>
  <si>
    <t>Seuil pauvreté extrême (USD/pers/jour)</t>
  </si>
  <si>
    <t>Banque mondiale, PPA 2017</t>
  </si>
  <si>
    <t>Seuil minimal N-1 pour calculer la rétention</t>
  </si>
  <si>
    <t>Hypothèse d'analyse : en dessous, la coopérative est considérée comme nouvelle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</si>
</sst>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28" x14ac:knownFonts="1">
    <font>
      <sz val="11"/>
      <color theme="1"/>
      <name val="Calibri"/>
      <family val="2"/>
      <scheme val="minor"/>
    </font>
    <font>
      <b/>
      <sz val="14"/>
      <color rgb="FF1F5C4A"/>
      <name val="Arial"/>
    </font>
    <font>
      <b/>
      <sz val="9"/>
      <color rgb="FFFFFFFF"/>
      <name val="Arial"/>
    </font>
    <font>
      <sz val="10"/>
      <color rgb="FF1B2622"/>
      <name val="Arial"/>
    </font>
    <font>
      <sz val="10"/>
      <color rgb="FF0000FF"/>
      <name val="Arial"/>
    </font>
    <font>
      <sz val="9"/>
      <color rgb="FF56635C"/>
      <name val="Arial"/>
    </font>
    <font>
      <b/>
      <sz val="11"/>
      <color rgb="FF1F5C4A"/>
      <name val="Arial"/>
    </font>
    <font>
      <b/>
      <sz val="18"/>
      <color rgb="FFFFFFFF"/>
      <name val="Arial"/>
    </font>
    <font>
      <sz val="9"/>
      <color rgb="FFDCEBE4"/>
      <name val="Arial"/>
    </font>
    <font>
      <b/>
      <sz val="10"/>
      <color rgb="FF56635C"/>
      <name val="Arial"/>
    </font>
    <font>
      <b/>
      <sz val="11"/>
      <color rgb="FF0000FF"/>
      <name val="Arial"/>
    </font>
    <font>
      <i/>
      <sz val="9"/>
      <color rgb="FF56635C"/>
      <name val="Arial"/>
    </font>
    <font>
      <b/>
      <sz val="9"/>
      <color rgb="FF56635C"/>
      <name val="Arial"/>
    </font>
    <font>
      <b/>
      <sz val="10"/>
      <color rgb="FF1F5C4A"/>
      <name val="Arial"/>
    </font>
    <font>
      <b/>
      <sz val="9"/>
      <color rgb="FF1B2622"/>
      <name val="Arial"/>
    </font>
    <font>
      <b/>
      <sz val="12"/>
      <color rgb="FF8C5A3C"/>
      <name val="Arial"/>
    </font>
    <font>
      <b/>
      <sz val="8"/>
      <color rgb="FF56635C"/>
      <name val="Arial"/>
    </font>
    <font>
      <b/>
      <sz val="16"/>
      <color rgb="FF1B2622"/>
      <name val="Arial"/>
    </font>
    <font>
      <i/>
      <sz val="7"/>
      <color rgb="FF56635C"/>
      <name val="Arial"/>
    </font>
    <font>
      <b/>
      <sz val="12"/>
      <color rgb="FF1F5C4A"/>
      <name val="Arial"/>
    </font>
    <font>
      <sz val="9"/>
      <color rgb="FF1B2622"/>
      <name val="Arial"/>
    </font>
    <font>
      <b/>
      <sz val="10"/>
      <color rgb="FF1B2622"/>
      <name val="Arial"/>
    </font>
    <font>
      <i/>
      <sz val="8"/>
      <color rgb="FF56635C"/>
      <name val="Arial"/>
    </font>
    <font>
      <b/>
      <sz val="10"/>
      <color rgb="FFB23A48"/>
      <name val="Arial"/>
    </font>
    <font>
      <b/>
      <sz val="12"/>
      <color rgb="FFB23A48"/>
      <name val="Arial"/>
    </font>
    <font>
      <b/>
      <sz val="16"/>
      <color rgb="FF1F5C4A"/>
      <name val="Arial"/>
    </font>
    <font>
      <sz val="10"/>
      <color rgb="FF56635C"/>
      <name val="Arial"/>
    </font>
    <font>
      <b/>
      <sz val="12"/>
      <color rgb="FF1B262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5C4A"/>
        <bgColor rgb="FF1F5C4A"/>
      </patternFill>
    </fill>
    <fill>
      <patternFill patternType="solid">
        <fgColor rgb="FFFFF7D6"/>
        <bgColor rgb="FFFFF7D6"/>
      </patternFill>
    </fill>
    <fill>
      <patternFill patternType="solid">
        <fgColor rgb="FFFFFFFF"/>
        <bgColor rgb="FFFFFFFF"/>
      </patternFill>
    </fill>
    <fill>
      <patternFill patternType="solid">
        <fgColor rgb="FF8C5A3C"/>
        <bgColor rgb="FF8C5A3C"/>
      </patternFill>
    </fill>
    <fill>
      <patternFill patternType="solid">
        <fgColor rgb="FFE3EEE8"/>
        <bgColor rgb="FFE3EEE8"/>
      </patternFill>
    </fill>
    <fill>
      <patternFill patternType="solid">
        <fgColor rgb="FFB23A48"/>
        <bgColor rgb="FFB23A48"/>
      </patternFill>
    </fill>
  </fills>
  <borders count="10">
    <border>
      <left/>
      <right/>
      <top/>
      <bottom/>
      <diagonal/>
    </border>
    <border>
      <left style="thin">
        <color rgb="FFDCE1DA"/>
      </left>
      <right style="thin">
        <color rgb="FFDCE1DA"/>
      </right>
      <top style="thin">
        <color rgb="FFDCE1DA"/>
      </top>
      <bottom style="thin">
        <color rgb="FFDCE1DA"/>
      </bottom>
      <diagonal/>
    </border>
    <border>
      <left/>
      <right/>
      <top/>
      <bottom style="medium">
        <color rgb="FF8C5A3C"/>
      </bottom>
      <diagonal/>
    </border>
    <border>
      <left style="thin">
        <color rgb="FFDCE1DA"/>
      </left>
      <right style="thin">
        <color rgb="FFDCE1DA"/>
      </right>
      <top style="thick">
        <color rgb="FF8C5A3C"/>
      </top>
      <bottom/>
      <diagonal/>
    </border>
    <border>
      <left style="thin">
        <color rgb="FFDCE1DA"/>
      </left>
      <right style="thin">
        <color rgb="FFDCE1DA"/>
      </right>
      <top/>
      <bottom/>
      <diagonal/>
    </border>
    <border>
      <left style="thin">
        <color rgb="FFDCE1DA"/>
      </left>
      <right style="thin">
        <color rgb="FFDCE1DA"/>
      </right>
      <top/>
      <bottom style="thin">
        <color rgb="FFDCE1DA"/>
      </bottom>
      <diagonal/>
    </border>
    <border>
      <left style="thin">
        <color rgb="FFDCE1DA"/>
      </left>
      <right style="thin">
        <color rgb="FFDCE1DA"/>
      </right>
      <top style="thick">
        <color rgb="FFB07A12"/>
      </top>
      <bottom/>
      <diagonal/>
    </border>
    <border>
      <left style="thin">
        <color rgb="FFDCE1DA"/>
      </left>
      <right style="thin">
        <color rgb="FFDCE1DA"/>
      </right>
      <top style="thick">
        <color rgb="FFB23A48"/>
      </top>
      <bottom/>
      <diagonal/>
    </border>
    <border>
      <left/>
      <right/>
      <top/>
      <bottom style="medium">
        <color rgb="FF1F5C4A"/>
      </bottom>
      <diagonal/>
    </border>
    <border>
      <left style="thin">
        <color rgb="FFDCE1DA"/>
      </left>
      <right style="thin">
        <color rgb="FFDCE1DA"/>
      </right>
      <top style="thick">
        <color rgb="FF1F5C4A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9" fillId="0" borderId="0" xfId="0" applyFont="1"/>
    <xf numFmtId="0" fontId="10" fillId="3" borderId="1" xfId="0" applyFont="1" applyFill="1" applyBorder="1" applyAlignment="1">
      <alignment horizontal="center"/>
    </xf>
    <xf numFmtId="0" fontId="16" fillId="4" borderId="3" xfId="0" applyFont="1" applyFill="1" applyBorder="1" applyAlignment="1">
      <alignment wrapText="1"/>
    </xf>
    <xf numFmtId="0" fontId="16" fillId="4" borderId="7" xfId="0" applyFont="1" applyFill="1" applyBorder="1" applyAlignment="1">
      <alignment wrapText="1"/>
    </xf>
    <xf numFmtId="3" fontId="17" fillId="4" borderId="4" xfId="0" applyNumberFormat="1" applyFont="1" applyFill="1" applyBorder="1" applyAlignment="1">
      <alignment horizontal="left" vertical="center"/>
    </xf>
    <xf numFmtId="165" fontId="17" fillId="4" borderId="4" xfId="0" applyNumberFormat="1" applyFont="1" applyFill="1" applyBorder="1" applyAlignment="1">
      <alignment horizontal="left" vertical="center"/>
    </xf>
    <xf numFmtId="1" fontId="17" fillId="4" borderId="4" xfId="0" applyNumberFormat="1" applyFont="1" applyFill="1" applyBorder="1" applyAlignment="1">
      <alignment horizontal="left" vertical="center"/>
    </xf>
    <xf numFmtId="0" fontId="18" fillId="4" borderId="5" xfId="0" applyFont="1" applyFill="1" applyBorder="1" applyAlignment="1">
      <alignment vertical="top" wrapText="1"/>
    </xf>
    <xf numFmtId="0" fontId="16" fillId="4" borderId="6" xfId="0" applyFont="1" applyFill="1" applyBorder="1" applyAlignment="1">
      <alignment wrapText="1"/>
    </xf>
    <xf numFmtId="2" fontId="17" fillId="4" borderId="4" xfId="0" applyNumberFormat="1" applyFont="1" applyFill="1" applyBorder="1" applyAlignment="1">
      <alignment horizontal="left" vertical="center"/>
    </xf>
    <xf numFmtId="166" fontId="17" fillId="4" borderId="4" xfId="0" applyNumberFormat="1" applyFont="1" applyFill="1" applyBorder="1" applyAlignment="1">
      <alignment horizontal="left" vertical="center"/>
    </xf>
    <xf numFmtId="0" fontId="16" fillId="4" borderId="9" xfId="0" applyFont="1" applyFill="1" applyBorder="1" applyAlignment="1">
      <alignment wrapText="1"/>
    </xf>
    <xf numFmtId="9" fontId="17" fillId="4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1" fillId="0" borderId="1" xfId="0" applyFont="1" applyBorder="1"/>
    <xf numFmtId="3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21" fillId="6" borderId="1" xfId="0" applyFont="1" applyFill="1" applyBorder="1"/>
    <xf numFmtId="3" fontId="21" fillId="6" borderId="1" xfId="0" applyNumberFormat="1" applyFont="1" applyFill="1" applyBorder="1" applyAlignment="1">
      <alignment horizontal="right"/>
    </xf>
    <xf numFmtId="165" fontId="21" fillId="6" borderId="1" xfId="0" applyNumberFormat="1" applyFont="1" applyFill="1" applyBorder="1" applyAlignment="1">
      <alignment horizontal="right"/>
    </xf>
    <xf numFmtId="2" fontId="21" fillId="6" borderId="1" xfId="0" applyNumberFormat="1" applyFont="1" applyFill="1" applyBorder="1" applyAlignment="1">
      <alignment horizontal="right"/>
    </xf>
    <xf numFmtId="0" fontId="22" fillId="0" borderId="0" xfId="0" applyFont="1"/>
    <xf numFmtId="0" fontId="12" fillId="0" borderId="0" xfId="0" applyFont="1"/>
    <xf numFmtId="0" fontId="1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4" fillId="0" borderId="0" xfId="0" applyFont="1"/>
    <xf numFmtId="3" fontId="20" fillId="0" borderId="0" xfId="0" applyNumberFormat="1" applyFont="1"/>
    <xf numFmtId="165" fontId="20" fillId="0" borderId="0" xfId="0" applyNumberFormat="1" applyFont="1"/>
    <xf numFmtId="165" fontId="0" fillId="0" borderId="0" xfId="0" applyNumberFormat="1"/>
    <xf numFmtId="1" fontId="20" fillId="0" borderId="0" xfId="0" applyNumberFormat="1" applyFont="1"/>
    <xf numFmtId="9" fontId="20" fillId="0" borderId="0" xfId="0" applyNumberFormat="1" applyFont="1"/>
    <xf numFmtId="166" fontId="20" fillId="0" borderId="0" xfId="0" applyNumberFormat="1" applyFont="1"/>
    <xf numFmtId="2" fontId="20" fillId="0" borderId="0" xfId="0" applyNumberFormat="1" applyFont="1"/>
    <xf numFmtId="1" fontId="14" fillId="0" borderId="0" xfId="0" applyNumberFormat="1" applyFont="1"/>
    <xf numFmtId="3" fontId="14" fillId="0" borderId="0" xfId="0" applyNumberFormat="1" applyFont="1"/>
    <xf numFmtId="9" fontId="14" fillId="0" borderId="0" xfId="0" applyNumberFormat="1" applyFont="1"/>
    <xf numFmtId="166" fontId="14" fillId="0" borderId="0" xfId="0" applyNumberFormat="1" applyFont="1"/>
    <xf numFmtId="2" fontId="14" fillId="0" borderId="0" xfId="0" applyNumberFormat="1" applyFont="1"/>
    <xf numFmtId="3" fontId="4" fillId="0" borderId="0" xfId="0" applyNumberFormat="1" applyFont="1"/>
    <xf numFmtId="0" fontId="6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/>
    <xf numFmtId="1" fontId="4" fillId="0" borderId="0" xfId="0" applyNumberFormat="1" applyFont="1"/>
    <xf numFmtId="49" fontId="4" fillId="0" borderId="0" xfId="0" applyNumberFormat="1" applyFont="1"/>
    <xf numFmtId="166" fontId="4" fillId="0" borderId="0" xfId="0" applyNumberFormat="1" applyFont="1"/>
    <xf numFmtId="2" fontId="4" fillId="0" borderId="0" xfId="0" applyNumberFormat="1" applyFont="1"/>
    <xf numFmtId="0" fontId="11" fillId="0" borderId="0" xfId="0" applyFont="1"/>
    <xf numFmtId="0" fontId="19" fillId="0" borderId="0" xfId="0" applyFont="1"/>
    <xf numFmtId="0" fontId="21" fillId="0" borderId="0" xfId="0" applyFont="1"/>
    <xf numFmtId="166" fontId="0" fillId="0" borderId="0" xfId="0" applyNumberFormat="1"/>
    <xf numFmtId="9" fontId="0" fillId="0" borderId="0" xfId="0" applyNumberFormat="1"/>
    <xf numFmtId="0" fontId="24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top" wrapText="1"/>
    </xf>
    <xf numFmtId="3" fontId="20" fillId="0" borderId="1" xfId="0" applyNumberFormat="1" applyFont="1" applyBorder="1" applyAlignment="1">
      <alignment vertical="top" wrapText="1"/>
    </xf>
    <xf numFmtId="165" fontId="20" fillId="0" borderId="1" xfId="0" applyNumberFormat="1" applyFont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23" fillId="0" borderId="0" xfId="0" applyFont="1" applyAlignment="1">
      <alignment vertical="top" wrapText="1"/>
    </xf>
    <xf numFmtId="0" fontId="0" fillId="0" borderId="0" xfId="0"/>
    <xf numFmtId="0" fontId="19" fillId="0" borderId="8" xfId="0" applyFont="1" applyBorder="1"/>
    <xf numFmtId="0" fontId="15" fillId="0" borderId="2" xfId="0" applyFont="1" applyBorder="1"/>
    <xf numFmtId="0" fontId="8" fillId="2" borderId="0" xfId="0" applyFont="1" applyFill="1" applyAlignment="1">
      <alignment vertical="top" indent="1"/>
    </xf>
    <xf numFmtId="0" fontId="3" fillId="0" borderId="0" xfId="0" applyFont="1" applyAlignment="1">
      <alignment vertical="top" wrapText="1"/>
    </xf>
    <xf numFmtId="0" fontId="7" fillId="2" borderId="0" xfId="0" applyFont="1" applyFill="1" applyAlignment="1">
      <alignment vertical="center" indent="1"/>
    </xf>
    <xf numFmtId="0" fontId="11" fillId="0" borderId="0" xfId="0" applyFont="1" applyAlignment="1">
      <alignment vertical="center" wrapText="1" indent="1"/>
    </xf>
  </cellXfs>
  <cellStyles count="1">
    <cellStyle name="Normal" xfId="0" builtinId="0"/>
  </cellStyles>
  <dxfs count="6">
    <dxf>
      <font>
        <b/>
        <color rgb="FF1F5C4A"/>
        <name val="Arial"/>
      </font>
      <fill>
        <patternFill patternType="solid">
          <fgColor rgb="FFE3EEE8"/>
          <bgColor rgb="FFE3EEE8"/>
        </patternFill>
      </fill>
    </dxf>
    <dxf>
      <font>
        <b/>
        <color rgb="FFB07A12"/>
        <name val="Arial"/>
      </font>
      <fill>
        <patternFill patternType="solid">
          <fgColor rgb="FFF5EBD6"/>
          <bgColor rgb="FFF5EBD6"/>
        </patternFill>
      </fill>
    </dxf>
    <dxf>
      <font>
        <b/>
        <color rgb="FFB23A48"/>
        <name val="Arial"/>
      </font>
      <fill>
        <patternFill patternType="solid">
          <fgColor rgb="FFF6E4E6"/>
          <bgColor rgb="FFF6E4E6"/>
        </patternFill>
      </fill>
    </dxf>
    <dxf>
      <font>
        <b/>
        <color rgb="FFFFFFFF"/>
        <name val="Arial"/>
      </font>
      <fill>
        <patternFill patternType="solid">
          <fgColor rgb="FFB23A48"/>
          <bgColor rgb="FFB23A48"/>
        </patternFill>
      </fill>
    </dxf>
    <dxf>
      <font>
        <b/>
        <color rgb="FFB23A48"/>
        <name val="Arial"/>
      </font>
    </dxf>
    <dxf>
      <font>
        <b/>
        <color rgb="FFB23A48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CD"/>
              <a:t>Producteurs par campagne : CKK + COOKKANZ (foncé), COOPADE + COOKURU (clair)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Séries!$C$6</c:f>
              <c:strCache>
                <c:ptCount val="1"/>
                <c:pt idx="0">
                  <c:v>CKK + COOKKANZ</c:v>
                </c:pt>
              </c:strCache>
            </c:strRef>
          </c:tx>
          <c:spPr>
            <a:solidFill>
              <a:srgbClr val="8C5A3C"/>
            </a:solidFill>
            <a:ln>
              <a:prstDash val="solid"/>
            </a:ln>
          </c:spPr>
          <c:invertIfNegative val="1"/>
          <c:cat>
            <c:strRef>
              <c:f>Séries!$A$7:$A$13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Séries!$C$7:$C$13</c:f>
              <c:numCache>
                <c:formatCode>#,##0</c:formatCode>
                <c:ptCount val="7"/>
                <c:pt idx="0">
                  <c:v>3864</c:v>
                </c:pt>
                <c:pt idx="1">
                  <c:v>4170</c:v>
                </c:pt>
                <c:pt idx="2">
                  <c:v>4065</c:v>
                </c:pt>
                <c:pt idx="3">
                  <c:v>4294</c:v>
                </c:pt>
                <c:pt idx="4">
                  <c:v>4525</c:v>
                </c:pt>
                <c:pt idx="5">
                  <c:v>5536</c:v>
                </c:pt>
                <c:pt idx="6">
                  <c:v>6506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8C-4A07-97E4-2ECA988236FB}"/>
            </c:ext>
          </c:extLst>
        </c:ser>
        <c:ser>
          <c:idx val="1"/>
          <c:order val="1"/>
          <c:tx>
            <c:strRef>
              <c:f>Séries!$D$6</c:f>
              <c:strCache>
                <c:ptCount val="1"/>
                <c:pt idx="0">
                  <c:v>COOPADE + COOKURU</c:v>
                </c:pt>
              </c:strCache>
            </c:strRef>
          </c:tx>
          <c:spPr>
            <a:solidFill>
              <a:srgbClr val="DDB690"/>
            </a:solidFill>
            <a:ln>
              <a:prstDash val="solid"/>
            </a:ln>
          </c:spPr>
          <c:invertIfNegative val="1"/>
          <c:cat>
            <c:strRef>
              <c:f>Séries!$A$7:$A$13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Séries!$D$7:$D$13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3790</c:v>
                </c:pt>
                <c:pt idx="6">
                  <c:v>5678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98C-4A07-97E4-2ECA98823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CD"/>
              <a:t>Part des jeunes 15-35 ans (vert) et des femmes (brun)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Séries!$E$6</c:f>
              <c:strCache>
                <c:ptCount val="1"/>
                <c:pt idx="0">
                  <c:v>Femmes</c:v>
                </c:pt>
              </c:strCache>
            </c:strRef>
          </c:tx>
          <c:spPr>
            <a:ln w="28000">
              <a:solidFill>
                <a:srgbClr val="8C5A3C"/>
              </a:solidFill>
              <a:prstDash val="solid"/>
            </a:ln>
          </c:spPr>
          <c:marker>
            <c:symbol val="none"/>
          </c:marker>
          <c:cat>
            <c:strRef>
              <c:f>Séries!$A$7:$A$13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Séries!$E$7:$E$13</c:f>
              <c:numCache>
                <c:formatCode>0.0%</c:formatCode>
                <c:ptCount val="7"/>
                <c:pt idx="0">
                  <c:v>0.21609730848861283</c:v>
                </c:pt>
                <c:pt idx="1">
                  <c:v>0.20767386091127099</c:v>
                </c:pt>
                <c:pt idx="2">
                  <c:v>0.2076260762607626</c:v>
                </c:pt>
                <c:pt idx="3">
                  <c:v>0.20582072176949942</c:v>
                </c:pt>
                <c:pt idx="4">
                  <c:v>0.20865533230293662</c:v>
                </c:pt>
                <c:pt idx="5">
                  <c:v>0.22882264636500108</c:v>
                </c:pt>
                <c:pt idx="6">
                  <c:v>0.25623768877216019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7-4A37-9C27-899D6B16A0D8}"/>
            </c:ext>
          </c:extLst>
        </c:ser>
        <c:ser>
          <c:idx val="1"/>
          <c:order val="1"/>
          <c:tx>
            <c:strRef>
              <c:f>Séries!$F$6</c:f>
              <c:strCache>
                <c:ptCount val="1"/>
                <c:pt idx="0">
                  <c:v>Jeunes 15-35</c:v>
                </c:pt>
              </c:strCache>
            </c:strRef>
          </c:tx>
          <c:spPr>
            <a:ln w="28000">
              <a:solidFill>
                <a:srgbClr val="1F5C4A"/>
              </a:solidFill>
              <a:prstDash val="solid"/>
            </a:ln>
          </c:spPr>
          <c:marker>
            <c:symbol val="none"/>
          </c:marker>
          <c:cat>
            <c:strRef>
              <c:f>Séries!$A$7:$A$13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Séries!$F$7:$F$13</c:f>
              <c:numCache>
                <c:formatCode>0.0%</c:formatCode>
                <c:ptCount val="7"/>
                <c:pt idx="0">
                  <c:v>0.60766045548654246</c:v>
                </c:pt>
                <c:pt idx="1">
                  <c:v>0.5767386091127098</c:v>
                </c:pt>
                <c:pt idx="2">
                  <c:v>0.51537515375153753</c:v>
                </c:pt>
                <c:pt idx="3">
                  <c:v>0.43329452852153666</c:v>
                </c:pt>
                <c:pt idx="4">
                  <c:v>0.32391256347979686</c:v>
                </c:pt>
                <c:pt idx="5">
                  <c:v>0.36703838730431054</c:v>
                </c:pt>
                <c:pt idx="6">
                  <c:v>0.44706172028890345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F7-4A37-9C27-899D6B16A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7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CD"/>
              <a:t>Ménages au-dessus du revenu vital : seuil de référence (clair), seuil ajusté (foncé)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Séries!$E$17</c:f>
              <c:strCache>
                <c:ptCount val="1"/>
                <c:pt idx="0">
                  <c:v>Au-dessus seuil réf.</c:v>
                </c:pt>
              </c:strCache>
            </c:strRef>
          </c:tx>
          <c:spPr>
            <a:solidFill>
              <a:srgbClr val="9DBFAE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Séries!$A$18:$A$21</c:f>
              <c:strCache>
                <c:ptCount val="4"/>
                <c:pt idx="0">
                  <c:v>Babungwe</c:v>
                </c:pt>
                <c:pt idx="1">
                  <c:v>Mambasa</c:v>
                </c:pt>
                <c:pt idx="2">
                  <c:v>Mayuano</c:v>
                </c:pt>
                <c:pt idx="3">
                  <c:v>Mungamba</c:v>
                </c:pt>
              </c:strCache>
            </c:strRef>
          </c:cat>
          <c:val>
            <c:numRef>
              <c:f>Séries!$E$18:$E$21</c:f>
              <c:numCache>
                <c:formatCode>0%</c:formatCode>
                <c:ptCount val="4"/>
                <c:pt idx="0">
                  <c:v>0.5</c:v>
                </c:pt>
                <c:pt idx="1">
                  <c:v>0.59090909090909094</c:v>
                </c:pt>
                <c:pt idx="2">
                  <c:v>0.76190476190476186</c:v>
                </c:pt>
                <c:pt idx="3">
                  <c:v>0.52173913043478259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E8-4A8E-A5A0-0F7BD9A49C09}"/>
            </c:ext>
          </c:extLst>
        </c:ser>
        <c:ser>
          <c:idx val="1"/>
          <c:order val="1"/>
          <c:tx>
            <c:strRef>
              <c:f>Séries!$F$17</c:f>
              <c:strCache>
                <c:ptCount val="1"/>
                <c:pt idx="0">
                  <c:v>Au-dessus seuil ajusté</c:v>
                </c:pt>
              </c:strCache>
            </c:strRef>
          </c:tx>
          <c:spPr>
            <a:solidFill>
              <a:srgbClr val="1F5C4A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Séries!$A$18:$A$21</c:f>
              <c:strCache>
                <c:ptCount val="4"/>
                <c:pt idx="0">
                  <c:v>Babungwe</c:v>
                </c:pt>
                <c:pt idx="1">
                  <c:v>Mambasa</c:v>
                </c:pt>
                <c:pt idx="2">
                  <c:v>Mayuano</c:v>
                </c:pt>
                <c:pt idx="3">
                  <c:v>Mungamba</c:v>
                </c:pt>
              </c:strCache>
            </c:strRef>
          </c:cat>
          <c:val>
            <c:numRef>
              <c:f>Séries!$F$18:$F$21</c:f>
              <c:numCache>
                <c:formatCode>0%</c:formatCode>
                <c:ptCount val="4"/>
                <c:pt idx="0">
                  <c:v>0.27272727272727271</c:v>
                </c:pt>
                <c:pt idx="1">
                  <c:v>0.27272727272727271</c:v>
                </c:pt>
                <c:pt idx="2">
                  <c:v>0.7142857142857143</c:v>
                </c:pt>
                <c:pt idx="3">
                  <c:v>0.34782608695652173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E8-4A8E-A5A0-0F7BD9A49C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CD"/>
              <a:t>Revenu net médian par section (USD/an) ; pointillé : seuil de 2 628 USD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Séries!$C$17</c:f>
              <c:strCache>
                <c:ptCount val="1"/>
                <c:pt idx="0">
                  <c:v>Revenu net médian</c:v>
                </c:pt>
              </c:strCache>
            </c:strRef>
          </c:tx>
          <c:spPr>
            <a:solidFill>
              <a:srgbClr val="1F5C4A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Séries!$A$18:$A$21</c:f>
              <c:strCache>
                <c:ptCount val="4"/>
                <c:pt idx="0">
                  <c:v>Babungwe</c:v>
                </c:pt>
                <c:pt idx="1">
                  <c:v>Mambasa</c:v>
                </c:pt>
                <c:pt idx="2">
                  <c:v>Mayuano</c:v>
                </c:pt>
                <c:pt idx="3">
                  <c:v>Mungamba</c:v>
                </c:pt>
              </c:strCache>
            </c:strRef>
          </c:cat>
          <c:val>
            <c:numRef>
              <c:f>Séries!$C$18:$C$21</c:f>
              <c:numCache>
                <c:formatCode>#,##0</c:formatCode>
                <c:ptCount val="4"/>
                <c:pt idx="0">
                  <c:v>2760</c:v>
                </c:pt>
                <c:pt idx="1">
                  <c:v>2883</c:v>
                </c:pt>
                <c:pt idx="2">
                  <c:v>4799</c:v>
                </c:pt>
                <c:pt idx="3">
                  <c:v>3060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F3-4563-BA09-04FBBDCA5E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Séries!$D$17</c:f>
              <c:strCache>
                <c:ptCount val="1"/>
                <c:pt idx="0">
                  <c:v>Seuil de référence</c:v>
                </c:pt>
              </c:strCache>
            </c:strRef>
          </c:tx>
          <c:spPr>
            <a:ln>
              <a:solidFill>
                <a:srgbClr val="B23A48"/>
              </a:solidFill>
              <a:prstDash val="dash"/>
            </a:ln>
          </c:spPr>
          <c:marker>
            <c:symbol val="none"/>
          </c:marker>
          <c:val>
            <c:numRef>
              <c:f>Séries!$D$18:$D$21</c:f>
              <c:numCache>
                <c:formatCode>#,##0</c:formatCode>
                <c:ptCount val="4"/>
                <c:pt idx="0">
                  <c:v>2628</c:v>
                </c:pt>
                <c:pt idx="1">
                  <c:v>2628</c:v>
                </c:pt>
                <c:pt idx="2">
                  <c:v>2628</c:v>
                </c:pt>
                <c:pt idx="3">
                  <c:v>2628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F3-4563-BA09-04FBBDCA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Composition du revenu net des ménages cacao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Séries!$M$6</c:f>
              <c:strCache>
                <c:ptCount val="1"/>
                <c:pt idx="0">
                  <c:v>Part du revenu net</c:v>
                </c:pt>
              </c:strCache>
            </c:strRef>
          </c:tx>
          <c:spPr>
            <a:solidFill>
              <a:srgbClr val="8C5A3C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Séries!$L$7:$L$13</c:f>
              <c:strCache>
                <c:ptCount val="7"/>
                <c:pt idx="0">
                  <c:v>Autres cultures vivrières</c:v>
                </c:pt>
                <c:pt idx="1">
                  <c:v>Café</c:v>
                </c:pt>
                <c:pt idx="2">
                  <c:v>Élevage</c:v>
                </c:pt>
                <c:pt idx="3">
                  <c:v>Transferts et autres</c:v>
                </c:pt>
                <c:pt idx="4">
                  <c:v>Activités hors ferme</c:v>
                </c:pt>
                <c:pt idx="5">
                  <c:v>Agroforesterie</c:v>
                </c:pt>
                <c:pt idx="6">
                  <c:v>Cacao</c:v>
                </c:pt>
              </c:strCache>
            </c:strRef>
          </c:cat>
          <c:val>
            <c:numRef>
              <c:f>Séries!$M$7:$M$13</c:f>
              <c:numCache>
                <c:formatCode>0.0%</c:formatCode>
                <c:ptCount val="7"/>
                <c:pt idx="0">
                  <c:v>-7.1226214034118499E-3</c:v>
                </c:pt>
                <c:pt idx="1">
                  <c:v>3.7505001314117547E-3</c:v>
                </c:pt>
                <c:pt idx="2">
                  <c:v>1.0490304213717968E-2</c:v>
                </c:pt>
                <c:pt idx="3">
                  <c:v>1.2942554299641036E-2</c:v>
                </c:pt>
                <c:pt idx="4">
                  <c:v>4.5161347736230296E-2</c:v>
                </c:pt>
                <c:pt idx="5">
                  <c:v>6.8705167791938762E-2</c:v>
                </c:pt>
                <c:pt idx="6">
                  <c:v>0.86607274723047201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DE-4CB7-B126-36E686CD32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Marge ESTIMÉE par producteur (USD) : forfait 60 % du 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Séries!$I$6</c:f>
              <c:strCache>
                <c:ptCount val="1"/>
                <c:pt idx="0">
                  <c:v>Marge estimée / producteur</c:v>
                </c:pt>
              </c:strCache>
            </c:strRef>
          </c:tx>
          <c:spPr>
            <a:solidFill>
              <a:srgbClr val="B07A12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Séries!$A$7:$A$13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Séries!$I$7:$I$13</c:f>
              <c:numCache>
                <c:formatCode>#,##0</c:formatCode>
                <c:ptCount val="7"/>
                <c:pt idx="0">
                  <c:v>276.49197722567288</c:v>
                </c:pt>
                <c:pt idx="1">
                  <c:v>310.61462829736212</c:v>
                </c:pt>
                <c:pt idx="2">
                  <c:v>639.4280442804428</c:v>
                </c:pt>
                <c:pt idx="3">
                  <c:v>672.81513387660073</c:v>
                </c:pt>
                <c:pt idx="4">
                  <c:v>734.28527268712742</c:v>
                </c:pt>
                <c:pt idx="5">
                  <c:v>734.5182286081922</c:v>
                </c:pt>
                <c:pt idx="6">
                  <c:v>715.91611950098491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7C-491E-8E12-2FAE85D2A8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594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594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36</xdr:row>
      <xdr:rowOff>0</xdr:rowOff>
    </xdr:from>
    <xdr:ext cx="594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36</xdr:row>
      <xdr:rowOff>0</xdr:rowOff>
    </xdr:from>
    <xdr:ext cx="594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52</xdr:row>
      <xdr:rowOff>0</xdr:rowOff>
    </xdr:from>
    <xdr:ext cx="5940000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52</xdr:row>
      <xdr:rowOff>0</xdr:rowOff>
    </xdr:from>
    <xdr:ext cx="5940000" cy="2592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6635C"/>
  </sheetPr>
  <dimension ref="B2:B22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120" customWidth="1"/>
  </cols>
  <sheetData>
    <row r="2" spans="2:2" ht="21" x14ac:dyDescent="0.3">
      <c r="B2" s="1" t="s">
        <v>66</v>
      </c>
    </row>
    <row r="3" spans="2:2" x14ac:dyDescent="0.3">
      <c r="B3" s="2" t="s">
        <v>67</v>
      </c>
    </row>
    <row r="4" spans="2:2" x14ac:dyDescent="0.3">
      <c r="B4" s="3"/>
    </row>
    <row r="5" spans="2:2" ht="15.6" x14ac:dyDescent="0.3">
      <c r="B5" s="4" t="s">
        <v>68</v>
      </c>
    </row>
    <row r="6" spans="2:2" x14ac:dyDescent="0.3">
      <c r="B6" s="3" t="s">
        <v>69</v>
      </c>
    </row>
    <row r="7" spans="2:2" x14ac:dyDescent="0.3">
      <c r="B7" s="3" t="s">
        <v>70</v>
      </c>
    </row>
    <row r="8" spans="2:2" x14ac:dyDescent="0.3">
      <c r="B8" s="3" t="s">
        <v>71</v>
      </c>
    </row>
    <row r="9" spans="2:2" x14ac:dyDescent="0.3">
      <c r="B9" s="3"/>
    </row>
    <row r="10" spans="2:2" ht="15.6" x14ac:dyDescent="0.3">
      <c r="B10" s="4" t="s">
        <v>72</v>
      </c>
    </row>
    <row r="11" spans="2:2" x14ac:dyDescent="0.3">
      <c r="B11" s="3" t="s">
        <v>73</v>
      </c>
    </row>
    <row r="12" spans="2:2" x14ac:dyDescent="0.3">
      <c r="B12" s="3" t="s">
        <v>74</v>
      </c>
    </row>
    <row r="13" spans="2:2" x14ac:dyDescent="0.3">
      <c r="B13" s="3" t="s">
        <v>75</v>
      </c>
    </row>
    <row r="14" spans="2:2" x14ac:dyDescent="0.3">
      <c r="B14" s="3" t="s">
        <v>76</v>
      </c>
    </row>
    <row r="15" spans="2:2" x14ac:dyDescent="0.3">
      <c r="B15" s="3" t="s">
        <v>77</v>
      </c>
    </row>
    <row r="16" spans="2:2" x14ac:dyDescent="0.3">
      <c r="B16" s="3"/>
    </row>
    <row r="17" spans="2:2" ht="15.6" x14ac:dyDescent="0.3">
      <c r="B17" s="4" t="s">
        <v>78</v>
      </c>
    </row>
    <row r="18" spans="2:2" x14ac:dyDescent="0.3">
      <c r="B18" s="3" t="s">
        <v>79</v>
      </c>
    </row>
    <row r="19" spans="2:2" ht="26.4" x14ac:dyDescent="0.3">
      <c r="B19" s="3" t="s">
        <v>80</v>
      </c>
    </row>
    <row r="20" spans="2:2" x14ac:dyDescent="0.3">
      <c r="B20" s="3" t="s">
        <v>81</v>
      </c>
    </row>
    <row r="21" spans="2:2" ht="26.4" x14ac:dyDescent="0.3">
      <c r="B21" s="5" t="s">
        <v>82</v>
      </c>
    </row>
    <row r="22" spans="2:2" x14ac:dyDescent="0.3">
      <c r="B22" s="3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5C4A"/>
  </sheetPr>
  <dimension ref="B1:L84"/>
  <sheetViews>
    <sheetView showGridLines="0" tabSelected="1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0" customWidth="1"/>
    <col min="3" max="12" width="16" customWidth="1"/>
    <col min="13" max="13" width="2" customWidth="1"/>
  </cols>
  <sheetData>
    <row r="1" spans="2:12" ht="34.049999999999997" customHeight="1" x14ac:dyDescent="0.3">
      <c r="B1" s="72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2:12" ht="19.95" customHeight="1" x14ac:dyDescent="0.3">
      <c r="B2" s="70" t="s">
        <v>1</v>
      </c>
      <c r="C2" s="67"/>
      <c r="D2" s="67"/>
      <c r="E2" s="67"/>
      <c r="F2" s="67"/>
      <c r="G2" s="67"/>
      <c r="H2" s="67"/>
      <c r="I2" s="67"/>
      <c r="J2" s="67"/>
      <c r="K2" s="67"/>
      <c r="L2" s="67"/>
    </row>
    <row r="4" spans="2:12" x14ac:dyDescent="0.3">
      <c r="B4" s="6" t="s">
        <v>2</v>
      </c>
      <c r="C4" s="7" t="s">
        <v>3</v>
      </c>
      <c r="D4" s="73" t="s">
        <v>4</v>
      </c>
      <c r="E4" s="67"/>
      <c r="F4" s="67"/>
      <c r="G4" s="67"/>
      <c r="H4" s="67"/>
      <c r="I4" s="67"/>
      <c r="J4" s="67"/>
      <c r="K4" s="67"/>
      <c r="L4" s="67"/>
    </row>
    <row r="5" spans="2:12" x14ac:dyDescent="0.3">
      <c r="B5" s="6" t="s">
        <v>5</v>
      </c>
      <c r="C5" s="7" t="s">
        <v>3</v>
      </c>
      <c r="D5" s="67"/>
      <c r="E5" s="67"/>
      <c r="F5" s="67"/>
      <c r="G5" s="67"/>
      <c r="H5" s="67"/>
      <c r="I5" s="67"/>
      <c r="J5" s="67"/>
      <c r="K5" s="67"/>
      <c r="L5" s="67"/>
    </row>
    <row r="7" spans="2:12" ht="15.6" x14ac:dyDescent="0.3">
      <c r="B7" s="69" t="s">
        <v>6</v>
      </c>
      <c r="C7" s="67"/>
      <c r="D7" s="67"/>
      <c r="E7" s="67"/>
      <c r="F7" s="67"/>
      <c r="G7" s="67"/>
      <c r="H7" s="67"/>
      <c r="I7" s="67"/>
      <c r="J7" s="67"/>
      <c r="K7" s="67"/>
      <c r="L7" s="67"/>
    </row>
    <row r="8" spans="2:12" ht="24" customHeight="1" x14ac:dyDescent="0.3"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I8" s="9" t="s">
        <v>13</v>
      </c>
      <c r="J8" s="9" t="s">
        <v>14</v>
      </c>
      <c r="K8" s="9" t="s">
        <v>15</v>
      </c>
    </row>
    <row r="9" spans="2:12" ht="25.95" customHeight="1" x14ac:dyDescent="0.3">
      <c r="B9" s="10">
        <f>INDEX(Séries!$B$32:$F$39,MATCH(IF(Dashboard!$C$4="Toutes","Toutes",TEXT(Dashboard!$C$4,"0")),Séries!$A$32:$A$39,0),MATCH(Dashboard!$C$5,Séries!$B$31:$F$31,0))</f>
        <v>12833</v>
      </c>
      <c r="C9" s="10">
        <f>SUMIFS(Café_données!$C$3:$C$22,Café_données!$A$3:$A$22,Séries!$B$1,Café_données!$B$3:$B$22,Séries!$B$2)</f>
        <v>42433</v>
      </c>
      <c r="D9" s="10">
        <f>SUMIFS(Café_données!$O$3:$O$22,Café_données!$A$3:$A$22,Séries!$B$1,Café_données!$B$3:$B$22,Séries!$B$2)</f>
        <v>12833</v>
      </c>
      <c r="E9" s="11">
        <f>IF(SUMIFS(Café_données!$C$3:$C$22,Café_données!$T$3:$T$22,Séries!$B$3-1,Café_données!$B$3:$B$22,Séries!$B$2)&lt;Paramètres!$B$7,"–",SUMIFS(Café_données!$P$3:$P$22,Café_données!$T$3:$T$22,Séries!$B$3,Café_données!$B$3:$B$22,Séries!$B$2)/SUMIFS(Café_données!$C$3:$C$22,Café_données!$T$3:$T$22,Séries!$B$3-1,Café_données!$B$3:$B$22,Séries!$B$2))</f>
        <v>0.99592536993351921</v>
      </c>
      <c r="F9" s="11">
        <f>IFERROR(SUMIFS(Café_données!$D$3:$D$22,Café_données!$A$3:$A$22,Séries!$B$1,Café_données!$B$3:$B$22,Séries!$B$2)/SUMIFS(Café_données!$C$3:$C$22,Café_données!$A$3:$A$22,Séries!$B$1,Café_données!$B$3:$B$22,Séries!$B$2),0)</f>
        <v>0.22694600900242737</v>
      </c>
      <c r="G9" s="11">
        <f>IFERROR(SUMIFS(Café_données!$E$3:$E$22,Café_données!$A$3:$A$22,Séries!$B$1,Café_données!$B$3:$B$22,Séries!$B$2)/SUMIFS(Café_données!$C$3:$C$22,Café_données!$A$3:$A$22,Séries!$B$1,Café_données!$B$3:$B$22,Séries!$B$2),0)</f>
        <v>0.44884877336035633</v>
      </c>
      <c r="I9" s="12">
        <f>COUNTA(Qualité!$D$4:$D$26)</f>
        <v>23</v>
      </c>
      <c r="J9" s="12">
        <f>COUNTIF(Qualité!$H$4:$H$26,"Critique")</f>
        <v>4</v>
      </c>
      <c r="K9" s="12">
        <f>COUNTIF(Qualité!$H$4:$H$26,"Élevée")</f>
        <v>7</v>
      </c>
    </row>
    <row r="10" spans="2:12" ht="22.05" customHeight="1" x14ac:dyDescent="0.3">
      <c r="B10" s="13" t="s">
        <v>16</v>
      </c>
      <c r="C10" s="13" t="s">
        <v>17</v>
      </c>
      <c r="D10" s="13"/>
      <c r="E10" s="13" t="s">
        <v>18</v>
      </c>
      <c r="F10" s="13"/>
      <c r="G10" s="13" t="s">
        <v>19</v>
      </c>
      <c r="I10" s="13" t="s">
        <v>20</v>
      </c>
      <c r="J10" s="13"/>
      <c r="K10" s="13"/>
    </row>
    <row r="11" spans="2:12" ht="24" customHeight="1" x14ac:dyDescent="0.3">
      <c r="B11" s="14" t="s">
        <v>21</v>
      </c>
      <c r="C11" s="14" t="s">
        <v>22</v>
      </c>
      <c r="D11" s="14" t="s">
        <v>23</v>
      </c>
      <c r="E11" s="14" t="s">
        <v>24</v>
      </c>
      <c r="F11" s="14" t="s">
        <v>25</v>
      </c>
      <c r="G11" s="14" t="s">
        <v>26</v>
      </c>
      <c r="I11" s="9" t="s">
        <v>27</v>
      </c>
      <c r="J11" s="9" t="s">
        <v>28</v>
      </c>
    </row>
    <row r="12" spans="2:12" ht="25.95" customHeight="1" x14ac:dyDescent="0.3">
      <c r="B12" s="10">
        <f>SUMIFS(Café_données!$G$3:$G$22,Café_données!$A$3:$A$22,Séries!$B$1,Café_données!$B$3:$B$22,Séries!$B$2)</f>
        <v>23550.5</v>
      </c>
      <c r="C12" s="15">
        <f>IFERROR(SUMIFS(Café_données!$G$3:$G$22,Café_données!$A$3:$A$22,Séries!$B$1,Café_données!$B$3:$B$22,Séries!$B$2)/SUMIFS(Café_données!$C$3:$C$22,Café_données!$A$3:$A$22,Séries!$B$1,Café_données!$B$3:$B$22,Séries!$B$2),0)</f>
        <v>0.55500435981429552</v>
      </c>
      <c r="D12" s="11">
        <f>IFERROR(SUMIFS(Café_données!$K$3:$K$22,Café_données!$A$3:$A$22,Séries!$B$1,Café_données!$B$3:$B$22,Séries!$B$2)/SUMIFS(Café_données!$C$3:$C$22,Café_données!$A$3:$A$22,Séries!$B$1,Café_données!$B$3:$B$22,Séries!$B$2),0)</f>
        <v>0.7145853463106544</v>
      </c>
      <c r="E12" s="10">
        <f>SUMIFS(Café_données!$H$3:$H$22,Café_données!$A$3:$A$22,Séries!$B$1,Café_données!$B$3:$B$22,Séries!$B$2)</f>
        <v>81063.819999999992</v>
      </c>
      <c r="F12" s="16">
        <f>SUMIFS(Café_données!$I$3:$I$22,Café_données!$A$3:$A$22,Séries!$B$1,Café_données!$B$3:$B$22,Séries!$B$2)/1000000</f>
        <v>44.585107000000001</v>
      </c>
      <c r="G12" s="10">
        <f>IFERROR(SUMIFS(Café_données!$J$3:$J$22,Café_données!$A$3:$A$22,Séries!$B$1,Café_données!$B$3:$B$22,Séries!$B$2)/SUMIFS(Café_données!$C$3:$C$22,Café_données!$A$3:$A$22,Séries!$B$1,Café_données!$B$3:$B$22,Séries!$B$2),0)</f>
        <v>630.43058468644688</v>
      </c>
      <c r="I12" s="11">
        <f>SUM(Café_données!$Q$3:$Q$22)/SUM(Café_données!$C$3:$C$22)</f>
        <v>0.63636792119341079</v>
      </c>
      <c r="J12" s="11">
        <f>SUM(Café_données!$R$3:$R$22)/SUM(Café_données!$C$3:$C$22)</f>
        <v>4.9466217330850985E-2</v>
      </c>
    </row>
    <row r="13" spans="2:12" ht="22.05" customHeight="1" x14ac:dyDescent="0.3">
      <c r="B13" s="13"/>
      <c r="C13" s="13" t="s">
        <v>29</v>
      </c>
      <c r="D13" s="13"/>
      <c r="E13" s="13" t="s">
        <v>30</v>
      </c>
      <c r="F13" s="13" t="s">
        <v>31</v>
      </c>
      <c r="G13" s="13" t="s">
        <v>32</v>
      </c>
      <c r="I13" s="13" t="s">
        <v>33</v>
      </c>
      <c r="J13" s="13" t="s">
        <v>33</v>
      </c>
    </row>
    <row r="15" spans="2:12" ht="15.6" x14ac:dyDescent="0.3">
      <c r="B15" s="68" t="s">
        <v>34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</row>
    <row r="16" spans="2:12" ht="24" customHeight="1" x14ac:dyDescent="0.3">
      <c r="B16" s="17" t="s">
        <v>35</v>
      </c>
      <c r="C16" s="17" t="s">
        <v>36</v>
      </c>
      <c r="D16" s="17" t="s">
        <v>37</v>
      </c>
      <c r="E16" s="17" t="s">
        <v>38</v>
      </c>
      <c r="F16" s="17" t="s">
        <v>39</v>
      </c>
      <c r="G16" s="17" t="s">
        <v>40</v>
      </c>
      <c r="H16" s="9" t="s">
        <v>41</v>
      </c>
      <c r="I16" s="9" t="s">
        <v>42</v>
      </c>
      <c r="J16" s="9" t="s">
        <v>43</v>
      </c>
      <c r="K16" s="9" t="s">
        <v>44</v>
      </c>
    </row>
    <row r="17" spans="2:11" ht="25.95" customHeight="1" x14ac:dyDescent="0.3">
      <c r="B17" s="10">
        <f>MEDIAN(Cacao_ménages!$H$3:$H$90)</f>
        <v>3300.5</v>
      </c>
      <c r="C17" s="10">
        <f>Paramètres!$B$4</f>
        <v>2628</v>
      </c>
      <c r="D17" s="18">
        <f>AVERAGE(Cacao_ménages!$J$3:$J$90)</f>
        <v>0.59090909090909094</v>
      </c>
      <c r="E17" s="18">
        <f>AVERAGE(Cacao_ménages!$K$3:$K$90)</f>
        <v>0.39772727272727271</v>
      </c>
      <c r="F17" s="10">
        <f t="array" ref="F17">MEDIAN(IF(Cacao_ménages!$H$3:$H$90&lt;Cacao_ménages!$I$3:$I$90,Cacao_ménages!$I$3:$I$90-Cacao_ménages!$H$3:$H$90))</f>
        <v>2225</v>
      </c>
      <c r="G17" s="15">
        <f>MEDIAN(Cacao_ménages!$L$3:$L$90)</f>
        <v>0.96599999999999997</v>
      </c>
      <c r="H17" s="18">
        <f>SUM(Cacao_ménages!$N$3:$N$90)/SUM(Cacao_ménages!$H$3:$H$90)</f>
        <v>0.86607274723047201</v>
      </c>
      <c r="I17" s="18">
        <f>COUNTIF(Cacao_ménages!$L$3:$L$90,"&lt;"&amp;Paramètres!$B$6)/COUNT(Cacao_ménages!$H$3:$H$90)</f>
        <v>0.79545454545454541</v>
      </c>
      <c r="J17" s="18">
        <f>COUNTIF(Cacao_ménages!$M$3:$M$90,"&lt;0")/COUNT(Cacao_ménages!$H$3:$H$90)</f>
        <v>0.18181818181818182</v>
      </c>
      <c r="K17" s="16">
        <f>AVERAGE(Cacao_ménages!$D$3:$D$90)</f>
        <v>10.329545454545455</v>
      </c>
    </row>
    <row r="18" spans="2:11" ht="22.05" customHeight="1" x14ac:dyDescent="0.3">
      <c r="B18" s="13"/>
      <c r="C18" s="13" t="s">
        <v>45</v>
      </c>
      <c r="D18" s="13"/>
      <c r="E18" s="13" t="s">
        <v>46</v>
      </c>
      <c r="F18" s="13" t="s">
        <v>47</v>
      </c>
      <c r="G18" s="13" t="s">
        <v>48</v>
      </c>
      <c r="H18" s="13"/>
      <c r="I18" s="13"/>
      <c r="J18" s="13"/>
      <c r="K18" s="13" t="s">
        <v>49</v>
      </c>
    </row>
    <row r="69" spans="2:12" ht="15.6" x14ac:dyDescent="0.3">
      <c r="B69" s="69" t="s">
        <v>50</v>
      </c>
      <c r="C69" s="67"/>
      <c r="D69" s="67"/>
      <c r="E69" s="67"/>
      <c r="F69" s="67"/>
      <c r="G69" s="67"/>
      <c r="H69" s="67"/>
      <c r="I69" s="67"/>
      <c r="J69" s="67"/>
      <c r="K69" s="67"/>
      <c r="L69" s="67"/>
    </row>
    <row r="70" spans="2:12" ht="24" x14ac:dyDescent="0.3">
      <c r="B70" s="19" t="s">
        <v>5</v>
      </c>
      <c r="C70" s="19" t="s">
        <v>51</v>
      </c>
      <c r="D70" s="19" t="s">
        <v>11</v>
      </c>
      <c r="E70" s="19" t="s">
        <v>52</v>
      </c>
      <c r="F70" s="19" t="s">
        <v>53</v>
      </c>
      <c r="G70" s="19" t="s">
        <v>23</v>
      </c>
      <c r="H70" s="19" t="s">
        <v>10</v>
      </c>
    </row>
    <row r="71" spans="2:12" x14ac:dyDescent="0.3">
      <c r="B71" s="20" t="s">
        <v>54</v>
      </c>
      <c r="C71" s="21">
        <f>SUMIFS(Café_données!$C$3:$C$22,Café_données!$A$3:$A$22,Séries!$B$1,Café_données!$B$3:$B$22,$B71)</f>
        <v>17332</v>
      </c>
      <c r="D71" s="22">
        <f>IFERROR(SUMIFS(Café_données!$D$3:$D$22,Café_données!$A$3:$A$22,Séries!$B$1,Café_données!$B$3:$B$22,$B71)/SUMIFS(Café_données!$C$3:$C$22,Café_données!$A$3:$A$22,Séries!$B$1,Café_données!$B$3:$B$22,$B71),0)</f>
        <v>0.29131087006692824</v>
      </c>
      <c r="E71" s="22">
        <f>IFERROR(SUMIFS(Café_données!$E$3:$E$22,Café_données!$A$3:$A$22,Séries!$B$1,Café_données!$B$3:$B$22,$B71)/SUMIFS(Café_données!$C$3:$C$22,Café_données!$A$3:$A$22,Séries!$B$1,Café_données!$B$3:$B$22,$B71),0)</f>
        <v>0.41662820216939767</v>
      </c>
      <c r="F71" s="23">
        <f>IFERROR(SUMIFS(Café_données!$G$3:$G$22,Café_données!$A$3:$A$22,Séries!$B$1,Café_données!$B$3:$B$22,$B71)/SUMIFS(Café_données!$C$3:$C$22,Café_données!$A$3:$A$22,Séries!$B$1,Café_données!$B$3:$B$22,$B71),0)</f>
        <v>0.55438610662358634</v>
      </c>
      <c r="G71" s="22">
        <f>IFERROR(SUMIFS(Café_données!$K$3:$K$22,Café_données!$A$3:$A$22,Séries!$B$1,Café_données!$B$3:$B$22,$B71)/SUMIFS(Café_données!$C$3:$C$22,Café_données!$A$3:$A$22,Séries!$B$1,Café_données!$B$3:$B$22,$B71),0)</f>
        <v>0.73880683129471503</v>
      </c>
      <c r="H71" s="22">
        <f>IF(SUMIFS(Café_données!$C$3:$C$22,Café_données!$T$3:$T$22,Séries!$B$3-1,Café_données!$B$3:$B$22,$B71)&lt;Paramètres!$B$7,"–",SUMIFS(Café_données!$P$3:$P$22,Café_données!$T$3:$T$22,Séries!$B$3,Café_données!$B$3:$B$22,$B71)/SUMIFS(Café_données!$C$3:$C$22,Café_données!$T$3:$T$22,Séries!$B$3-1,Café_données!$B$3:$B$22,$B71))</f>
        <v>0.98841987299215539</v>
      </c>
    </row>
    <row r="72" spans="2:12" x14ac:dyDescent="0.3">
      <c r="B72" s="20" t="s">
        <v>55</v>
      </c>
      <c r="C72" s="21">
        <f>SUMIFS(Café_données!$C$3:$C$22,Café_données!$A$3:$A$22,Séries!$B$1,Café_données!$B$3:$B$22,$B72)</f>
        <v>15628</v>
      </c>
      <c r="D72" s="22">
        <f>IFERROR(SUMIFS(Café_données!$D$3:$D$22,Café_données!$A$3:$A$22,Séries!$B$1,Café_données!$B$3:$B$22,$B72)/SUMIFS(Café_données!$C$3:$C$22,Café_données!$A$3:$A$22,Séries!$B$1,Café_données!$B$3:$B$22,$B72),0)</f>
        <v>0.12445610442794984</v>
      </c>
      <c r="E72" s="22">
        <f>IFERROR(SUMIFS(Café_données!$E$3:$E$22,Café_données!$A$3:$A$22,Séries!$B$1,Café_données!$B$3:$B$22,$B72)/SUMIFS(Café_données!$C$3:$C$22,Café_données!$A$3:$A$22,Séries!$B$1,Café_données!$B$3:$B$22,$B72),0)</f>
        <v>0.45738418223701049</v>
      </c>
      <c r="F72" s="23">
        <f>IFERROR(SUMIFS(Café_données!$G$3:$G$22,Café_données!$A$3:$A$22,Séries!$B$1,Café_données!$B$3:$B$22,$B72)/SUMIFS(Café_données!$C$3:$C$22,Café_données!$A$3:$A$22,Séries!$B$1,Café_données!$B$3:$B$22,$B72),0)</f>
        <v>0.55559572562068082</v>
      </c>
      <c r="G72" s="22">
        <f>IFERROR(SUMIFS(Café_données!$K$3:$K$22,Café_données!$A$3:$A$22,Séries!$B$1,Café_données!$B$3:$B$22,$B72)/SUMIFS(Café_données!$C$3:$C$22,Café_données!$A$3:$A$22,Séries!$B$1,Café_données!$B$3:$B$22,$B72),0)</f>
        <v>0.84854108011261842</v>
      </c>
      <c r="H72" s="22">
        <f>IF(SUMIFS(Café_données!$C$3:$C$22,Café_données!$T$3:$T$22,Séries!$B$3-1,Café_données!$B$3:$B$22,$B72)&lt;Paramètres!$B$7,"–",SUMIFS(Café_données!$P$3:$P$22,Café_données!$T$3:$T$22,Séries!$B$3,Café_données!$B$3:$B$22,$B72)/SUMIFS(Café_données!$C$3:$C$22,Café_données!$T$3:$T$22,Séries!$B$3-1,Café_données!$B$3:$B$22,$B72))</f>
        <v>0.99650227352221055</v>
      </c>
    </row>
    <row r="73" spans="2:12" x14ac:dyDescent="0.3">
      <c r="B73" s="20" t="s">
        <v>56</v>
      </c>
      <c r="C73" s="21">
        <f>SUMIFS(Café_données!$C$3:$C$22,Café_données!$A$3:$A$22,Séries!$B$1,Café_données!$B$3:$B$22,$B73)</f>
        <v>1602</v>
      </c>
      <c r="D73" s="22">
        <f>IFERROR(SUMIFS(Café_données!$D$3:$D$22,Café_données!$A$3:$A$22,Séries!$B$1,Café_données!$B$3:$B$22,$B73)/SUMIFS(Café_données!$C$3:$C$22,Café_données!$A$3:$A$22,Séries!$B$1,Café_données!$B$3:$B$22,$B73),0)</f>
        <v>0.37952559300873906</v>
      </c>
      <c r="E73" s="22">
        <f>IFERROR(SUMIFS(Café_données!$E$3:$E$22,Café_données!$A$3:$A$22,Séries!$B$1,Café_données!$B$3:$B$22,$B73)/SUMIFS(Café_données!$C$3:$C$22,Café_données!$A$3:$A$22,Séries!$B$1,Café_données!$B$3:$B$22,$B73),0)</f>
        <v>0.50062421972534332</v>
      </c>
      <c r="F73" s="23">
        <f>IFERROR(SUMIFS(Café_données!$G$3:$G$22,Café_données!$A$3:$A$22,Séries!$B$1,Café_données!$B$3:$B$22,$B73)/SUMIFS(Café_données!$C$3:$C$22,Café_données!$A$3:$A$22,Séries!$B$1,Café_données!$B$3:$B$22,$B73),0)</f>
        <v>0.54400124843945075</v>
      </c>
      <c r="G73" s="22">
        <f>IFERROR(SUMIFS(Café_données!$K$3:$K$22,Café_données!$A$3:$A$22,Séries!$B$1,Café_données!$B$3:$B$22,$B73)/SUMIFS(Café_données!$C$3:$C$22,Café_données!$A$3:$A$22,Séries!$B$1,Café_données!$B$3:$B$22,$B73),0)</f>
        <v>0</v>
      </c>
      <c r="H73" s="22" t="str">
        <f>IF(SUMIFS(Café_données!$C$3:$C$22,Café_données!$T$3:$T$22,Séries!$B$3-1,Café_données!$B$3:$B$22,$B73)&lt;Paramètres!$B$7,"–",SUMIFS(Café_données!$P$3:$P$22,Café_données!$T$3:$T$22,Séries!$B$3,Café_données!$B$3:$B$22,$B73)/SUMIFS(Café_données!$C$3:$C$22,Café_données!$T$3:$T$22,Séries!$B$3-1,Café_données!$B$3:$B$22,$B73))</f>
        <v>–</v>
      </c>
    </row>
    <row r="74" spans="2:12" x14ac:dyDescent="0.3">
      <c r="B74" s="20" t="s">
        <v>57</v>
      </c>
      <c r="C74" s="21">
        <f>SUMIFS(Café_données!$C$3:$C$22,Café_données!$A$3:$A$22,Séries!$B$1,Café_données!$B$3:$B$22,$B74)</f>
        <v>7871</v>
      </c>
      <c r="D74" s="22">
        <f>IFERROR(SUMIFS(Café_données!$D$3:$D$22,Café_données!$A$3:$A$22,Séries!$B$1,Café_données!$B$3:$B$22,$B74)/SUMIFS(Café_données!$C$3:$C$22,Café_données!$A$3:$A$22,Séries!$B$1,Café_données!$B$3:$B$22,$B74),0)</f>
        <v>0.25765468174310763</v>
      </c>
      <c r="E74" s="22">
        <f>IFERROR(SUMIFS(Café_données!$E$3:$E$22,Café_données!$A$3:$A$22,Séries!$B$1,Café_données!$B$3:$B$22,$B74)/SUMIFS(Café_données!$C$3:$C$22,Café_données!$A$3:$A$22,Séries!$B$1,Café_données!$B$3:$B$22,$B74),0)</f>
        <v>0.49231355609198324</v>
      </c>
      <c r="F74" s="23">
        <f>IFERROR(SUMIFS(Café_données!$G$3:$G$22,Café_données!$A$3:$A$22,Séries!$B$1,Café_données!$B$3:$B$22,$B74)/SUMIFS(Café_données!$C$3:$C$22,Café_données!$A$3:$A$22,Séries!$B$1,Café_données!$B$3:$B$22,$B74),0)</f>
        <v>0.55743107610214715</v>
      </c>
      <c r="G74" s="22">
        <f>IFERROR(SUMIFS(Café_données!$K$3:$K$22,Café_données!$A$3:$A$22,Séries!$B$1,Café_données!$B$3:$B$22,$B74)/SUMIFS(Café_données!$C$3:$C$22,Café_données!$A$3:$A$22,Séries!$B$1,Café_données!$B$3:$B$22,$B74),0)</f>
        <v>0.54071909541354335</v>
      </c>
      <c r="H74" s="22">
        <f>IF(SUMIFS(Café_données!$C$3:$C$22,Café_données!$T$3:$T$22,Séries!$B$3-1,Café_données!$B$3:$B$22,$B74)&lt;Paramètres!$B$7,"–",SUMIFS(Café_données!$P$3:$P$22,Café_données!$T$3:$T$22,Séries!$B$3,Café_données!$B$3:$B$22,$B74)/SUMIFS(Café_données!$C$3:$C$22,Café_données!$T$3:$T$22,Séries!$B$3-1,Café_données!$B$3:$B$22,$B74))</f>
        <v>0.99709685932963843</v>
      </c>
    </row>
    <row r="75" spans="2:12" x14ac:dyDescent="0.3">
      <c r="B75" s="24" t="s">
        <v>58</v>
      </c>
      <c r="C75" s="25">
        <f>SUMIFS(Café_données!$C$3:$C$22,Café_données!$A$3:$A$22,Séries!$B$1,Café_données!$B$3:$B$22,"*")</f>
        <v>42433</v>
      </c>
      <c r="D75" s="26">
        <f>IFERROR(SUMIFS(Café_données!$D$3:$D$22,Café_données!$A$3:$A$22,Séries!$B$1,Café_données!$B$3:$B$22,"*")/SUMIFS(Café_données!$C$3:$C$22,Café_données!$A$3:$A$22,Séries!$B$1,Café_données!$B$3:$B$22,"*"),0)</f>
        <v>0.22694600900242737</v>
      </c>
      <c r="E75" s="26">
        <f>IFERROR(SUMIFS(Café_données!$E$3:$E$22,Café_données!$A$3:$A$22,Séries!$B$1,Café_données!$B$3:$B$22,"*")/SUMIFS(Café_données!$C$3:$C$22,Café_données!$A$3:$A$22,Séries!$B$1,Café_données!$B$3:$B$22,"*"),0)</f>
        <v>0.44884877336035633</v>
      </c>
      <c r="F75" s="27">
        <f>IFERROR(SUMIFS(Café_données!$G$3:$G$22,Café_données!$A$3:$A$22,Séries!$B$1,Café_données!$B$3:$B$22,"*")/SUMIFS(Café_données!$C$3:$C$22,Café_données!$A$3:$A$22,Séries!$B$1,Café_données!$B$3:$B$22,"*"),0)</f>
        <v>0.55500435981429552</v>
      </c>
      <c r="G75" s="26">
        <f>IFERROR(SUMIFS(Café_données!$K$3:$K$22,Café_données!$A$3:$A$22,Séries!$B$1,Café_données!$B$3:$B$22,"*")/SUMIFS(Café_données!$C$3:$C$22,Café_données!$A$3:$A$22,Séries!$B$1,Café_données!$B$3:$B$22,"*"),0)</f>
        <v>0.7145853463106544</v>
      </c>
      <c r="H75" s="26">
        <f>IF(SUMIFS(Café_données!$C$3:$C$22,Café_données!$T$3:$T$22,Séries!$B$3-1,Café_données!$B$3:$B$22,"*")&lt;Paramètres!$B$7,"–",SUMIFS(Café_données!$P$3:$P$22,Café_données!$T$3:$T$22,Séries!$B$3,Café_données!$B$3:$B$22,"*")/SUMIFS(Café_données!$C$3:$C$22,Café_données!$T$3:$T$22,Séries!$B$3-1,Café_données!$B$3:$B$22,"*"))</f>
        <v>0.99592536993351921</v>
      </c>
    </row>
    <row r="76" spans="2:12" x14ac:dyDescent="0.3">
      <c r="B76" s="28" t="s">
        <v>59</v>
      </c>
    </row>
    <row r="78" spans="2:12" ht="15.6" x14ac:dyDescent="0.3">
      <c r="B78" s="68" t="s">
        <v>60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 ht="28.05" customHeight="1" x14ac:dyDescent="0.3">
      <c r="B79" s="71" t="s">
        <v>61</v>
      </c>
      <c r="C79" s="67"/>
      <c r="D79" s="67"/>
      <c r="E79" s="67"/>
      <c r="F79" s="67"/>
      <c r="G79" s="67"/>
      <c r="H79" s="67"/>
      <c r="I79" s="67"/>
      <c r="J79" s="67"/>
      <c r="K79" s="67"/>
      <c r="L79" s="67"/>
    </row>
    <row r="80" spans="2:12" ht="28.05" customHeight="1" x14ac:dyDescent="0.3">
      <c r="B80" s="71" t="s">
        <v>62</v>
      </c>
      <c r="C80" s="67"/>
      <c r="D80" s="67"/>
      <c r="E80" s="67"/>
      <c r="F80" s="67"/>
      <c r="G80" s="67"/>
      <c r="H80" s="67"/>
      <c r="I80" s="67"/>
      <c r="J80" s="67"/>
      <c r="K80" s="67"/>
      <c r="L80" s="67"/>
    </row>
    <row r="81" spans="2:12" ht="28.05" customHeight="1" x14ac:dyDescent="0.3">
      <c r="B81" s="71" t="s">
        <v>63</v>
      </c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2" ht="28.05" customHeight="1" x14ac:dyDescent="0.3">
      <c r="B82" s="66" t="s">
        <v>64</v>
      </c>
      <c r="C82" s="67"/>
      <c r="D82" s="67"/>
      <c r="E82" s="67"/>
      <c r="F82" s="67"/>
      <c r="G82" s="67"/>
      <c r="H82" s="67"/>
      <c r="I82" s="67"/>
      <c r="J82" s="67"/>
      <c r="K82" s="67"/>
      <c r="L82" s="67"/>
    </row>
    <row r="84" spans="2:12" x14ac:dyDescent="0.3">
      <c r="B84" s="28" t="s">
        <v>65</v>
      </c>
    </row>
  </sheetData>
  <mergeCells count="11">
    <mergeCell ref="B2:L2"/>
    <mergeCell ref="B80:L80"/>
    <mergeCell ref="B81:L81"/>
    <mergeCell ref="B79:L79"/>
    <mergeCell ref="B1:L1"/>
    <mergeCell ref="D4:L5"/>
    <mergeCell ref="B82:L82"/>
    <mergeCell ref="B78:L78"/>
    <mergeCell ref="B15:L15"/>
    <mergeCell ref="B7:L7"/>
    <mergeCell ref="B69:L69"/>
  </mergeCells>
  <conditionalFormatting sqref="D71:D74">
    <cfRule type="cellIs" dxfId="5" priority="1" operator="lessThan">
      <formula>0.15</formula>
    </cfRule>
  </conditionalFormatting>
  <conditionalFormatting sqref="E71:E74">
    <cfRule type="cellIs" dxfId="4" priority="2" operator="lessThan">
      <formula>0.3</formula>
    </cfRule>
  </conditionalFormatting>
  <dataValidations count="2">
    <dataValidation type="list" sqref="C4" xr:uid="{00000000-0002-0000-0100-000000000000}">
      <formula1>"Toutes,2019,2020,2021,2022,2023,2024,2025"</formula1>
    </dataValidation>
    <dataValidation type="list" sqref="C5" xr:uid="{00000000-0002-0000-0100-000001000000}">
      <formula1>"Toutes,CKK,COOKKANZ,COOKURU,COOPADE"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CE1DA"/>
  </sheetPr>
  <dimension ref="A1:M39"/>
  <sheetViews>
    <sheetView workbookViewId="0"/>
  </sheetViews>
  <sheetFormatPr baseColWidth="10" defaultColWidth="8.88671875" defaultRowHeight="14.4" x14ac:dyDescent="0.3"/>
  <cols>
    <col min="1" max="1" width="30" customWidth="1"/>
    <col min="2" max="2" width="13" customWidth="1"/>
    <col min="3" max="4" width="15" customWidth="1"/>
    <col min="5" max="7" width="13" customWidth="1"/>
    <col min="8" max="9" width="15" customWidth="1"/>
    <col min="10" max="10" width="13" customWidth="1"/>
    <col min="11" max="11" width="3" customWidth="1"/>
    <col min="12" max="12" width="26" customWidth="1"/>
    <col min="13" max="13" width="14" customWidth="1"/>
  </cols>
  <sheetData>
    <row r="1" spans="1:13" x14ac:dyDescent="0.3">
      <c r="A1" s="29" t="s">
        <v>84</v>
      </c>
      <c r="B1" t="str">
        <f>IF(Dashboard!$C$4="Toutes","*",TEXT(Dashboard!$C$4,"0"))</f>
        <v>*</v>
      </c>
    </row>
    <row r="2" spans="1:13" x14ac:dyDescent="0.3">
      <c r="A2" s="29" t="s">
        <v>85</v>
      </c>
      <c r="B2" t="str">
        <f>IF(Dashboard!$C$5="Toutes","*",Dashboard!$C$5)</f>
        <v>*</v>
      </c>
    </row>
    <row r="3" spans="1:13" x14ac:dyDescent="0.3">
      <c r="A3" s="29" t="s">
        <v>86</v>
      </c>
      <c r="B3">
        <f>IF(Dashboard!$C$4="Toutes",MAX(Café_données!$T$3:$T$22),VALUE(Dashboard!$C$4))</f>
        <v>2025</v>
      </c>
    </row>
    <row r="5" spans="1:13" x14ac:dyDescent="0.3">
      <c r="A5" s="30" t="s">
        <v>87</v>
      </c>
      <c r="L5" s="30" t="s">
        <v>88</v>
      </c>
    </row>
    <row r="6" spans="1:13" ht="36" customHeight="1" x14ac:dyDescent="0.3">
      <c r="A6" s="31" t="s">
        <v>2</v>
      </c>
      <c r="B6" s="31" t="s">
        <v>51</v>
      </c>
      <c r="C6" s="31" t="s">
        <v>89</v>
      </c>
      <c r="D6" s="31" t="s">
        <v>90</v>
      </c>
      <c r="E6" s="31" t="s">
        <v>11</v>
      </c>
      <c r="F6" s="31" t="s">
        <v>52</v>
      </c>
      <c r="G6" s="31" t="s">
        <v>91</v>
      </c>
      <c r="H6" s="31" t="s">
        <v>92</v>
      </c>
      <c r="I6" s="31" t="s">
        <v>93</v>
      </c>
      <c r="J6" s="31" t="s">
        <v>10</v>
      </c>
      <c r="L6" s="31" t="s">
        <v>94</v>
      </c>
      <c r="M6" s="31" t="s">
        <v>95</v>
      </c>
    </row>
    <row r="7" spans="1:13" x14ac:dyDescent="0.3">
      <c r="A7" s="32" t="s">
        <v>96</v>
      </c>
      <c r="B7" s="33">
        <f>SUMIFS(Café_données!$C$3:$C$22,Café_données!$A$3:$A$22,$A7,Café_données!$B$3:$B$22,Séries!$B$2)</f>
        <v>3864</v>
      </c>
      <c r="C7" s="33">
        <f>SUMIFS(Café_données!$C$3:$C$22,Café_données!$A$3:$A$22,$A7,Café_données!$B$3:$B$22,"CKK")+SUMIFS(Café_données!$C$3:$C$22,Café_données!$A$3:$A$22,$A7,Café_données!$B$3:$B$22,"COOKKANZ")</f>
        <v>3864</v>
      </c>
      <c r="D7" s="33">
        <f>SUMIFS(Café_données!$C$3:$C$22,Café_données!$A$3:$A$22,$A7,Café_données!$B$3:$B$22,"COOPADE")+SUMIFS(Café_données!$C$3:$C$22,Café_données!$A$3:$A$22,$A7,Café_données!$B$3:$B$22,"COOKURU")</f>
        <v>0</v>
      </c>
      <c r="E7" s="34">
        <f>IFERROR(SUMIFS(Café_données!$D$3:$D$22,Café_données!$A$3:$A$22,$A7,Café_données!$B$3:$B$22,Séries!$B$2)/SUMIFS(Café_données!$C$3:$C$22,Café_données!$A$3:$A$22,$A7,Café_données!$B$3:$B$22,Séries!$B$2),NA())</f>
        <v>0.21609730848861283</v>
      </c>
      <c r="F7" s="34">
        <f>IFERROR(SUMIFS(Café_données!$E$3:$E$22,Café_données!$A$3:$A$22,$A7,Café_données!$B$3:$B$22,Séries!$B$2)/SUMIFS(Café_données!$C$3:$C$22,Café_données!$A$3:$A$22,$A7,Café_données!$B$3:$B$22,Séries!$B$2),NA())</f>
        <v>0.60766045548654246</v>
      </c>
      <c r="G7" s="33">
        <f>SUMIFS(Café_données!$G$3:$G$22,Café_données!$A$3:$A$22,$A7,Café_données!$B$3:$B$22,Séries!$B$2)</f>
        <v>2158.3199999999997</v>
      </c>
      <c r="H7" s="33">
        <f>SUMIFS(Café_données!$H$3:$H$22,Café_données!$A$3:$A$22,$A7,Café_données!$B$3:$B$22,Séries!$B$2)</f>
        <v>3237.4700000000003</v>
      </c>
      <c r="I7" s="33">
        <f>IFERROR(SUMIFS(Café_données!$J$3:$J$22,Café_données!$A$3:$A$22,$A7,Café_données!$B$3:$B$22,Séries!$B$2)/SUMIFS(Café_données!$C$3:$C$22,Café_données!$A$3:$A$22,$A7,Café_données!$B$3:$B$22,Séries!$B$2),NA())</f>
        <v>276.49197722567288</v>
      </c>
      <c r="J7" s="34" t="str">
        <f>IF(SUMIFS(Café_données!$C$3:$C$22,Café_données!$T$3:$T$22,VALUE($A7)-1,Café_données!$B$3:$B$22,Séries!$B$2)&lt;Paramètres!$B$7,"–",SUMIFS(Café_données!$P$3:$P$22,Café_données!$A$3:$A$22,$A7,Café_données!$B$3:$B$22,Séries!$B$2)/SUMIFS(Café_données!$C$3:$C$22,Café_données!$T$3:$T$22,VALUE($A7)-1,Café_données!$B$3:$B$22,Séries!$B$2))</f>
        <v>–</v>
      </c>
      <c r="L7" s="32" t="s">
        <v>97</v>
      </c>
      <c r="M7" s="35">
        <f>SUM(Cacao_ménages!$Q$3:$Q$90)/SUM(Cacao_ménages!$H$3:$H$90)</f>
        <v>-7.1226214034118499E-3</v>
      </c>
    </row>
    <row r="8" spans="1:13" x14ac:dyDescent="0.3">
      <c r="A8" s="32" t="s">
        <v>98</v>
      </c>
      <c r="B8" s="33">
        <f>SUMIFS(Café_données!$C$3:$C$22,Café_données!$A$3:$A$22,$A8,Café_données!$B$3:$B$22,Séries!$B$2)</f>
        <v>4170</v>
      </c>
      <c r="C8" s="33">
        <f>SUMIFS(Café_données!$C$3:$C$22,Café_données!$A$3:$A$22,$A8,Café_données!$B$3:$B$22,"CKK")+SUMIFS(Café_données!$C$3:$C$22,Café_données!$A$3:$A$22,$A8,Café_données!$B$3:$B$22,"COOKKANZ")</f>
        <v>4170</v>
      </c>
      <c r="D8" s="33">
        <f>SUMIFS(Café_données!$C$3:$C$22,Café_données!$A$3:$A$22,$A8,Café_données!$B$3:$B$22,"COOPADE")+SUMIFS(Café_données!$C$3:$C$22,Café_données!$A$3:$A$22,$A8,Café_données!$B$3:$B$22,"COOKURU")</f>
        <v>0</v>
      </c>
      <c r="E8" s="34">
        <f>IFERROR(SUMIFS(Café_données!$D$3:$D$22,Café_données!$A$3:$A$22,$A8,Café_données!$B$3:$B$22,Séries!$B$2)/SUMIFS(Café_données!$C$3:$C$22,Café_données!$A$3:$A$22,$A8,Café_données!$B$3:$B$22,Séries!$B$2),NA())</f>
        <v>0.20767386091127099</v>
      </c>
      <c r="F8" s="34">
        <f>IFERROR(SUMIFS(Café_données!$E$3:$E$22,Café_données!$A$3:$A$22,$A8,Café_données!$B$3:$B$22,Séries!$B$2)/SUMIFS(Café_données!$C$3:$C$22,Café_données!$A$3:$A$22,$A8,Café_données!$B$3:$B$22,Séries!$B$2),NA())</f>
        <v>0.5767386091127098</v>
      </c>
      <c r="G8" s="33">
        <f>SUMIFS(Café_données!$G$3:$G$22,Café_données!$A$3:$A$22,$A8,Café_données!$B$3:$B$22,Séries!$B$2)</f>
        <v>2308.84</v>
      </c>
      <c r="H8" s="33">
        <f>SUMIFS(Café_données!$H$3:$H$22,Café_données!$A$3:$A$22,$A8,Café_données!$B$3:$B$22,Séries!$B$2)</f>
        <v>3925.04</v>
      </c>
      <c r="I8" s="33">
        <f>IFERROR(SUMIFS(Café_données!$J$3:$J$22,Café_données!$A$3:$A$22,$A8,Café_données!$B$3:$B$22,Séries!$B$2)/SUMIFS(Café_données!$C$3:$C$22,Café_données!$A$3:$A$22,$A8,Café_données!$B$3:$B$22,Séries!$B$2),NA())</f>
        <v>310.61462829736212</v>
      </c>
      <c r="J8" s="34">
        <f>IF(SUMIFS(Café_données!$C$3:$C$22,Café_données!$T$3:$T$22,VALUE($A8)-1,Café_données!$B$3:$B$22,Séries!$B$2)&lt;Paramètres!$B$7,"–",SUMIFS(Café_données!$P$3:$P$22,Café_données!$A$3:$A$22,$A8,Café_données!$B$3:$B$22,Séries!$B$2)/SUMIFS(Café_données!$C$3:$C$22,Café_données!$T$3:$T$22,VALUE($A8)-1,Café_données!$B$3:$B$22,Séries!$B$2))</f>
        <v>0.8623188405797102</v>
      </c>
      <c r="L8" s="32" t="s">
        <v>99</v>
      </c>
      <c r="M8" s="35">
        <f>SUM(Cacao_ménages!$O$3:$O$90)/SUM(Cacao_ménages!$H$3:$H$90)</f>
        <v>3.7505001314117547E-3</v>
      </c>
    </row>
    <row r="9" spans="1:13" x14ac:dyDescent="0.3">
      <c r="A9" s="32" t="s">
        <v>100</v>
      </c>
      <c r="B9" s="33">
        <f>SUMIFS(Café_données!$C$3:$C$22,Café_données!$A$3:$A$22,$A9,Café_données!$B$3:$B$22,Séries!$B$2)</f>
        <v>4065</v>
      </c>
      <c r="C9" s="33">
        <f>SUMIFS(Café_données!$C$3:$C$22,Café_données!$A$3:$A$22,$A9,Café_données!$B$3:$B$22,"CKK")+SUMIFS(Café_données!$C$3:$C$22,Café_données!$A$3:$A$22,$A9,Café_données!$B$3:$B$22,"COOKKANZ")</f>
        <v>4065</v>
      </c>
      <c r="D9" s="33">
        <f>SUMIFS(Café_données!$C$3:$C$22,Café_données!$A$3:$A$22,$A9,Café_données!$B$3:$B$22,"COOPADE")+SUMIFS(Café_données!$C$3:$C$22,Café_données!$A$3:$A$22,$A9,Café_données!$B$3:$B$22,"COOKURU")</f>
        <v>0</v>
      </c>
      <c r="E9" s="34">
        <f>IFERROR(SUMIFS(Café_données!$D$3:$D$22,Café_données!$A$3:$A$22,$A9,Café_données!$B$3:$B$22,Séries!$B$2)/SUMIFS(Café_données!$C$3:$C$22,Café_données!$A$3:$A$22,$A9,Café_données!$B$3:$B$22,Séries!$B$2),NA())</f>
        <v>0.2076260762607626</v>
      </c>
      <c r="F9" s="34">
        <f>IFERROR(SUMIFS(Café_données!$E$3:$E$22,Café_données!$A$3:$A$22,$A9,Café_données!$B$3:$B$22,Séries!$B$2)/SUMIFS(Café_données!$C$3:$C$22,Café_données!$A$3:$A$22,$A9,Café_données!$B$3:$B$22,Séries!$B$2),NA())</f>
        <v>0.51537515375153753</v>
      </c>
      <c r="G9" s="33">
        <f>SUMIFS(Café_données!$G$3:$G$22,Café_données!$A$3:$A$22,$A9,Café_données!$B$3:$B$22,Séries!$B$2)</f>
        <v>2250.46</v>
      </c>
      <c r="H9" s="33">
        <f>SUMIFS(Café_données!$H$3:$H$22,Café_données!$A$3:$A$22,$A9,Café_données!$B$3:$B$22,Séries!$B$2)</f>
        <v>7876.59</v>
      </c>
      <c r="I9" s="33">
        <f>IFERROR(SUMIFS(Café_données!$J$3:$J$22,Café_données!$A$3:$A$22,$A9,Café_données!$B$3:$B$22,Séries!$B$2)/SUMIFS(Café_données!$C$3:$C$22,Café_données!$A$3:$A$22,$A9,Café_données!$B$3:$B$22,Séries!$B$2),NA())</f>
        <v>639.4280442804428</v>
      </c>
      <c r="J9" s="34">
        <f>IF(SUMIFS(Café_données!$C$3:$C$22,Café_données!$T$3:$T$22,VALUE($A9)-1,Café_données!$B$3:$B$22,Séries!$B$2)&lt;Paramètres!$B$7,"–",SUMIFS(Café_données!$P$3:$P$22,Café_données!$A$3:$A$22,$A9,Café_données!$B$3:$B$22,Séries!$B$2)/SUMIFS(Café_données!$C$3:$C$22,Café_données!$T$3:$T$22,VALUE($A9)-1,Café_données!$B$3:$B$22,Séries!$B$2))</f>
        <v>0.94556354916067142</v>
      </c>
      <c r="L9" s="32" t="s">
        <v>101</v>
      </c>
      <c r="M9" s="35">
        <f>SUM(Cacao_ménages!$R$3:$R$90)/SUM(Cacao_ménages!$H$3:$H$90)</f>
        <v>1.0490304213717968E-2</v>
      </c>
    </row>
    <row r="10" spans="1:13" x14ac:dyDescent="0.3">
      <c r="A10" s="32" t="s">
        <v>102</v>
      </c>
      <c r="B10" s="33">
        <f>SUMIFS(Café_données!$C$3:$C$22,Café_données!$A$3:$A$22,$A10,Café_données!$B$3:$B$22,Séries!$B$2)</f>
        <v>4295</v>
      </c>
      <c r="C10" s="33">
        <f>SUMIFS(Café_données!$C$3:$C$22,Café_données!$A$3:$A$22,$A10,Café_données!$B$3:$B$22,"CKK")+SUMIFS(Café_données!$C$3:$C$22,Café_données!$A$3:$A$22,$A10,Café_données!$B$3:$B$22,"COOKKANZ")</f>
        <v>4294</v>
      </c>
      <c r="D10" s="33">
        <f>SUMIFS(Café_données!$C$3:$C$22,Café_données!$A$3:$A$22,$A10,Café_données!$B$3:$B$22,"COOPADE")+SUMIFS(Café_données!$C$3:$C$22,Café_données!$A$3:$A$22,$A10,Café_données!$B$3:$B$22,"COOKURU")</f>
        <v>1</v>
      </c>
      <c r="E10" s="34">
        <f>IFERROR(SUMIFS(Café_données!$D$3:$D$22,Café_données!$A$3:$A$22,$A10,Café_données!$B$3:$B$22,Séries!$B$2)/SUMIFS(Café_données!$C$3:$C$22,Café_données!$A$3:$A$22,$A10,Café_données!$B$3:$B$22,Séries!$B$2),NA())</f>
        <v>0.20582072176949942</v>
      </c>
      <c r="F10" s="34">
        <f>IFERROR(SUMIFS(Café_données!$E$3:$E$22,Café_données!$A$3:$A$22,$A10,Café_données!$B$3:$B$22,Séries!$B$2)/SUMIFS(Café_données!$C$3:$C$22,Café_données!$A$3:$A$22,$A10,Café_données!$B$3:$B$22,Séries!$B$2),NA())</f>
        <v>0.43329452852153666</v>
      </c>
      <c r="G10" s="33">
        <f>SUMIFS(Café_données!$G$3:$G$22,Café_données!$A$3:$A$22,$A10,Café_données!$B$3:$B$22,Séries!$B$2)</f>
        <v>2395.2499999999995</v>
      </c>
      <c r="H10" s="33">
        <f>SUMIFS(Café_données!$H$3:$H$22,Café_données!$A$3:$A$22,$A10,Café_données!$B$3:$B$22,Séries!$B$2)</f>
        <v>8756.7899999999991</v>
      </c>
      <c r="I10" s="33">
        <f>IFERROR(SUMIFS(Café_données!$J$3:$J$22,Café_données!$A$3:$A$22,$A10,Café_données!$B$3:$B$22,Séries!$B$2)/SUMIFS(Café_données!$C$3:$C$22,Café_données!$A$3:$A$22,$A10,Café_données!$B$3:$B$22,Séries!$B$2),NA())</f>
        <v>672.81513387660073</v>
      </c>
      <c r="J10" s="34">
        <f>IF(SUMIFS(Café_données!$C$3:$C$22,Café_données!$T$3:$T$22,VALUE($A10)-1,Café_données!$B$3:$B$22,Séries!$B$2)&lt;Paramètres!$B$7,"–",SUMIFS(Café_données!$P$3:$P$22,Café_données!$A$3:$A$22,$A10,Café_données!$B$3:$B$22,Séries!$B$2)/SUMIFS(Café_données!$C$3:$C$22,Café_données!$T$3:$T$22,VALUE($A10)-1,Café_données!$B$3:$B$22,Séries!$B$2))</f>
        <v>0.98991389913899142</v>
      </c>
      <c r="L10" s="32" t="s">
        <v>103</v>
      </c>
      <c r="M10" s="35">
        <f>SUM(Cacao_ménages!$T$3:$T$90)/SUM(Cacao_ménages!$H$3:$H$90)</f>
        <v>1.2942554299641036E-2</v>
      </c>
    </row>
    <row r="11" spans="1:13" x14ac:dyDescent="0.3">
      <c r="A11" s="32" t="s">
        <v>104</v>
      </c>
      <c r="B11" s="33">
        <f>SUMIFS(Café_données!$C$3:$C$22,Café_données!$A$3:$A$22,$A11,Café_données!$B$3:$B$22,Séries!$B$2)</f>
        <v>4529</v>
      </c>
      <c r="C11" s="33">
        <f>SUMIFS(Café_données!$C$3:$C$22,Café_données!$A$3:$A$22,$A11,Café_données!$B$3:$B$22,"CKK")+SUMIFS(Café_données!$C$3:$C$22,Café_données!$A$3:$A$22,$A11,Café_données!$B$3:$B$22,"COOKKANZ")</f>
        <v>4525</v>
      </c>
      <c r="D11" s="33">
        <f>SUMIFS(Café_données!$C$3:$C$22,Café_données!$A$3:$A$22,$A11,Café_données!$B$3:$B$22,"COOPADE")+SUMIFS(Café_données!$C$3:$C$22,Café_données!$A$3:$A$22,$A11,Café_données!$B$3:$B$22,"COOKURU")</f>
        <v>4</v>
      </c>
      <c r="E11" s="34">
        <f>IFERROR(SUMIFS(Café_données!$D$3:$D$22,Café_données!$A$3:$A$22,$A11,Café_données!$B$3:$B$22,Séries!$B$2)/SUMIFS(Café_données!$C$3:$C$22,Café_données!$A$3:$A$22,$A11,Café_données!$B$3:$B$22,Séries!$B$2),NA())</f>
        <v>0.20865533230293662</v>
      </c>
      <c r="F11" s="34">
        <f>IFERROR(SUMIFS(Café_données!$E$3:$E$22,Café_données!$A$3:$A$22,$A11,Café_données!$B$3:$B$22,Séries!$B$2)/SUMIFS(Café_données!$C$3:$C$22,Café_données!$A$3:$A$22,$A11,Café_données!$B$3:$B$22,Séries!$B$2),NA())</f>
        <v>0.32391256347979686</v>
      </c>
      <c r="G11" s="33">
        <f>SUMIFS(Café_données!$G$3:$G$22,Café_données!$A$3:$A$22,$A11,Café_données!$B$3:$B$22,Séries!$B$2)</f>
        <v>2509.9999999999995</v>
      </c>
      <c r="H11" s="33">
        <f>SUMIFS(Café_données!$H$3:$H$22,Café_données!$A$3:$A$22,$A11,Café_données!$B$3:$B$22,Séries!$B$2)</f>
        <v>10077.51</v>
      </c>
      <c r="I11" s="33">
        <f>IFERROR(SUMIFS(Café_données!$J$3:$J$22,Café_données!$A$3:$A$22,$A11,Café_données!$B$3:$B$22,Séries!$B$2)/SUMIFS(Café_données!$C$3:$C$22,Café_données!$A$3:$A$22,$A11,Café_données!$B$3:$B$22,Séries!$B$2),NA())</f>
        <v>734.28527268712742</v>
      </c>
      <c r="J11" s="34">
        <f>IF(SUMIFS(Café_données!$C$3:$C$22,Café_données!$T$3:$T$22,VALUE($A11)-1,Café_données!$B$3:$B$22,Séries!$B$2)&lt;Paramètres!$B$7,"–",SUMIFS(Café_données!$P$3:$P$22,Café_données!$A$3:$A$22,$A11,Café_données!$B$3:$B$22,Séries!$B$2)/SUMIFS(Café_données!$C$3:$C$22,Café_données!$T$3:$T$22,VALUE($A11)-1,Café_données!$B$3:$B$22,Séries!$B$2))</f>
        <v>0.96484284051222347</v>
      </c>
      <c r="L11" s="32" t="s">
        <v>105</v>
      </c>
      <c r="M11" s="35">
        <f>SUM(Cacao_ménages!$S$3:$S$90)/SUM(Cacao_ménages!$H$3:$H$90)</f>
        <v>4.5161347736230296E-2</v>
      </c>
    </row>
    <row r="12" spans="1:13" x14ac:dyDescent="0.3">
      <c r="A12" s="32" t="s">
        <v>106</v>
      </c>
      <c r="B12" s="33">
        <f>SUMIFS(Café_données!$C$3:$C$22,Café_données!$A$3:$A$22,$A12,Café_données!$B$3:$B$22,Séries!$B$2)</f>
        <v>9326</v>
      </c>
      <c r="C12" s="33">
        <f>SUMIFS(Café_données!$C$3:$C$22,Café_données!$A$3:$A$22,$A12,Café_données!$B$3:$B$22,"CKK")+SUMIFS(Café_données!$C$3:$C$22,Café_données!$A$3:$A$22,$A12,Café_données!$B$3:$B$22,"COOKKANZ")</f>
        <v>5536</v>
      </c>
      <c r="D12" s="33">
        <f>SUMIFS(Café_données!$C$3:$C$22,Café_données!$A$3:$A$22,$A12,Café_données!$B$3:$B$22,"COOPADE")+SUMIFS(Café_données!$C$3:$C$22,Café_données!$A$3:$A$22,$A12,Café_données!$B$3:$B$22,"COOKURU")</f>
        <v>3790</v>
      </c>
      <c r="E12" s="34">
        <f>IFERROR(SUMIFS(Café_données!$D$3:$D$22,Café_données!$A$3:$A$22,$A12,Café_données!$B$3:$B$22,Séries!$B$2)/SUMIFS(Café_données!$C$3:$C$22,Café_données!$A$3:$A$22,$A12,Café_données!$B$3:$B$22,Séries!$B$2),NA())</f>
        <v>0.22882264636500108</v>
      </c>
      <c r="F12" s="34">
        <f>IFERROR(SUMIFS(Café_données!$E$3:$E$22,Café_données!$A$3:$A$22,$A12,Café_données!$B$3:$B$22,Séries!$B$2)/SUMIFS(Café_données!$C$3:$C$22,Café_données!$A$3:$A$22,$A12,Café_données!$B$3:$B$22,Séries!$B$2),NA())</f>
        <v>0.36703838730431054</v>
      </c>
      <c r="G12" s="33">
        <f>SUMIFS(Café_données!$G$3:$G$22,Café_données!$A$3:$A$22,$A12,Café_données!$B$3:$B$22,Séries!$B$2)</f>
        <v>5157.24</v>
      </c>
      <c r="H12" s="33">
        <f>SUMIFS(Café_données!$H$3:$H$22,Café_données!$A$3:$A$22,$A12,Café_données!$B$3:$B$22,Séries!$B$2)</f>
        <v>20757.93</v>
      </c>
      <c r="I12" s="33">
        <f>IFERROR(SUMIFS(Café_données!$J$3:$J$22,Café_données!$A$3:$A$22,$A12,Café_données!$B$3:$B$22,Séries!$B$2)/SUMIFS(Café_données!$C$3:$C$22,Café_données!$A$3:$A$22,$A12,Café_données!$B$3:$B$22,Séries!$B$2),NA())</f>
        <v>734.5182286081922</v>
      </c>
      <c r="J12" s="34">
        <f>IF(SUMIFS(Café_données!$C$3:$C$22,Café_données!$T$3:$T$22,VALUE($A12)-1,Café_données!$B$3:$B$22,Séries!$B$2)&lt;Paramètres!$B$7,"–",SUMIFS(Café_données!$P$3:$P$22,Café_données!$A$3:$A$22,$A12,Café_données!$B$3:$B$22,Séries!$B$2)/SUMIFS(Café_données!$C$3:$C$22,Café_données!$T$3:$T$22,VALUE($A12)-1,Café_données!$B$3:$B$22,Séries!$B$2))</f>
        <v>0.97240008831971736</v>
      </c>
      <c r="L12" s="32" t="s">
        <v>107</v>
      </c>
      <c r="M12" s="35">
        <f>SUM(Cacao_ménages!$P$3:$P$90)/SUM(Cacao_ménages!$H$3:$H$90)</f>
        <v>6.8705167791938762E-2</v>
      </c>
    </row>
    <row r="13" spans="1:13" x14ac:dyDescent="0.3">
      <c r="A13" s="32" t="s">
        <v>108</v>
      </c>
      <c r="B13" s="33">
        <f>SUMIFS(Café_données!$C$3:$C$22,Café_données!$A$3:$A$22,$A13,Café_données!$B$3:$B$22,Séries!$B$2)</f>
        <v>12184</v>
      </c>
      <c r="C13" s="33">
        <f>SUMIFS(Café_données!$C$3:$C$22,Café_données!$A$3:$A$22,$A13,Café_données!$B$3:$B$22,"CKK")+SUMIFS(Café_données!$C$3:$C$22,Café_données!$A$3:$A$22,$A13,Café_données!$B$3:$B$22,"COOKKANZ")</f>
        <v>6506</v>
      </c>
      <c r="D13" s="33">
        <f>SUMIFS(Café_données!$C$3:$C$22,Café_données!$A$3:$A$22,$A13,Café_données!$B$3:$B$22,"COOPADE")+SUMIFS(Café_données!$C$3:$C$22,Café_données!$A$3:$A$22,$A13,Café_données!$B$3:$B$22,"COOKURU")</f>
        <v>5678</v>
      </c>
      <c r="E13" s="34">
        <f>IFERROR(SUMIFS(Café_données!$D$3:$D$22,Café_données!$A$3:$A$22,$A13,Café_données!$B$3:$B$22,Séries!$B$2)/SUMIFS(Café_données!$C$3:$C$22,Café_données!$A$3:$A$22,$A13,Café_données!$B$3:$B$22,Séries!$B$2),NA())</f>
        <v>0.25623768877216019</v>
      </c>
      <c r="F13" s="34">
        <f>IFERROR(SUMIFS(Café_données!$E$3:$E$22,Café_données!$A$3:$A$22,$A13,Café_données!$B$3:$B$22,Séries!$B$2)/SUMIFS(Café_données!$C$3:$C$22,Café_données!$A$3:$A$22,$A13,Café_données!$B$3:$B$22,Séries!$B$2),NA())</f>
        <v>0.44706172028890345</v>
      </c>
      <c r="G13" s="33">
        <f>SUMIFS(Café_données!$G$3:$G$22,Café_données!$A$3:$A$22,$A13,Café_données!$B$3:$B$22,Séries!$B$2)</f>
        <v>6770.3899999999994</v>
      </c>
      <c r="H13" s="33">
        <f>SUMIFS(Café_données!$H$3:$H$22,Café_données!$A$3:$A$22,$A13,Café_données!$B$3:$B$22,Séries!$B$2)</f>
        <v>26432.489999999998</v>
      </c>
      <c r="I13" s="33">
        <f>IFERROR(SUMIFS(Café_données!$J$3:$J$22,Café_données!$A$3:$A$22,$A13,Café_données!$B$3:$B$22,Séries!$B$2)/SUMIFS(Café_données!$C$3:$C$22,Café_données!$A$3:$A$22,$A13,Café_données!$B$3:$B$22,Séries!$B$2),NA())</f>
        <v>715.91611950098491</v>
      </c>
      <c r="J13" s="34">
        <f>IF(SUMIFS(Café_données!$C$3:$C$22,Café_données!$T$3:$T$22,VALUE($A13)-1,Café_données!$B$3:$B$22,Séries!$B$2)&lt;Paramètres!$B$7,"–",SUMIFS(Café_données!$P$3:$P$22,Café_données!$A$3:$A$22,$A13,Café_données!$B$3:$B$22,Séries!$B$2)/SUMIFS(Café_données!$C$3:$C$22,Café_données!$T$3:$T$22,VALUE($A13)-1,Café_données!$B$3:$B$22,Séries!$B$2))</f>
        <v>0.99592536993351921</v>
      </c>
      <c r="L13" s="32" t="s">
        <v>109</v>
      </c>
      <c r="M13" s="35">
        <f>SUM(Cacao_ménages!$N$3:$N$90)/SUM(Cacao_ménages!$H$3:$H$90)</f>
        <v>0.86607274723047201</v>
      </c>
    </row>
    <row r="16" spans="1:13" x14ac:dyDescent="0.3">
      <c r="A16" s="30" t="s">
        <v>110</v>
      </c>
    </row>
    <row r="17" spans="1:10" ht="36" customHeight="1" x14ac:dyDescent="0.3">
      <c r="A17" s="31" t="s">
        <v>111</v>
      </c>
      <c r="B17" s="31" t="s">
        <v>112</v>
      </c>
      <c r="C17" s="31" t="s">
        <v>113</v>
      </c>
      <c r="D17" s="31" t="s">
        <v>114</v>
      </c>
      <c r="E17" s="31" t="s">
        <v>115</v>
      </c>
      <c r="F17" s="31" t="s">
        <v>116</v>
      </c>
      <c r="G17" s="31" t="s">
        <v>117</v>
      </c>
      <c r="H17" s="31" t="s">
        <v>118</v>
      </c>
      <c r="I17" s="31" t="s">
        <v>119</v>
      </c>
      <c r="J17" s="31" t="s">
        <v>120</v>
      </c>
    </row>
    <row r="18" spans="1:10" x14ac:dyDescent="0.3">
      <c r="A18" s="32" t="s">
        <v>121</v>
      </c>
      <c r="B18" s="36">
        <f>COUNTIF(Cacao_ménages!$B$3:$B$90,$A18)</f>
        <v>22</v>
      </c>
      <c r="C18" s="33">
        <f t="array" ref="C18">MEDIAN(IF(Cacao_ménages!$B$3:$B$90=$A18,Cacao_ménages!$H$3:$H$90))</f>
        <v>2760</v>
      </c>
      <c r="D18" s="33">
        <f>Paramètres!$B$4</f>
        <v>2628</v>
      </c>
      <c r="E18" s="37">
        <f>AVERAGEIF(Cacao_ménages!$B$3:$B$90,$A18,Cacao_ménages!$J$3:$J$90)</f>
        <v>0.5</v>
      </c>
      <c r="F18" s="37">
        <f>AVERAGEIF(Cacao_ménages!$B$3:$B$90,$A18,Cacao_ménages!$K$3:$K$90)</f>
        <v>0.27272727272727271</v>
      </c>
      <c r="G18" s="38">
        <f>AVERAGEIF(Cacao_ménages!$B$3:$B$90,$A18,Cacao_ménages!$D$3:$D$90)</f>
        <v>8.8181818181818183</v>
      </c>
      <c r="H18" s="38">
        <f t="array" ref="H18">MEDIAN(IF(Cacao_ménages!$B$3:$B$90=$A18,Cacao_ménages!$E$3:$E$90))</f>
        <v>3</v>
      </c>
      <c r="I18" s="33">
        <f t="array" ref="I18">MEDIAN(IF(Cacao_ménages!$B$3:$B$90=$A18,Cacao_ménages!$F$3:$F$90))</f>
        <v>485</v>
      </c>
      <c r="J18" s="39">
        <f t="array" ref="J18">MEDIAN(IF(Cacao_ménages!$B$3:$B$90=$A18,Cacao_ménages!$G$3:$G$90))</f>
        <v>3.625</v>
      </c>
    </row>
    <row r="19" spans="1:10" x14ac:dyDescent="0.3">
      <c r="A19" s="32" t="s">
        <v>122</v>
      </c>
      <c r="B19" s="36">
        <f>COUNTIF(Cacao_ménages!$B$3:$B$90,$A19)</f>
        <v>22</v>
      </c>
      <c r="C19" s="33">
        <f t="array" ref="C19">MEDIAN(IF(Cacao_ménages!$B$3:$B$90=$A19,Cacao_ménages!$H$3:$H$90))</f>
        <v>2883</v>
      </c>
      <c r="D19" s="33">
        <f>Paramètres!$B$4</f>
        <v>2628</v>
      </c>
      <c r="E19" s="37">
        <f>AVERAGEIF(Cacao_ménages!$B$3:$B$90,$A19,Cacao_ménages!$J$3:$J$90)</f>
        <v>0.59090909090909094</v>
      </c>
      <c r="F19" s="37">
        <f>AVERAGEIF(Cacao_ménages!$B$3:$B$90,$A19,Cacao_ménages!$K$3:$K$90)</f>
        <v>0.27272727272727271</v>
      </c>
      <c r="G19" s="38">
        <f>AVERAGEIF(Cacao_ménages!$B$3:$B$90,$A19,Cacao_ménages!$D$3:$D$90)</f>
        <v>12.636363636363637</v>
      </c>
      <c r="H19" s="38">
        <f t="array" ref="H19">MEDIAN(IF(Cacao_ménages!$B$3:$B$90=$A19,Cacao_ménages!$E$3:$E$90))</f>
        <v>3</v>
      </c>
      <c r="I19" s="33">
        <f t="array" ref="I19">MEDIAN(IF(Cacao_ménages!$B$3:$B$90=$A19,Cacao_ménages!$F$3:$F$90))</f>
        <v>435</v>
      </c>
      <c r="J19" s="39">
        <f t="array" ref="J19">MEDIAN(IF(Cacao_ménages!$B$3:$B$90=$A19,Cacao_ménages!$G$3:$G$90))</f>
        <v>4.0325000000000006</v>
      </c>
    </row>
    <row r="20" spans="1:10" x14ac:dyDescent="0.3">
      <c r="A20" s="32" t="s">
        <v>123</v>
      </c>
      <c r="B20" s="36">
        <f>COUNTIF(Cacao_ménages!$B$3:$B$90,$A20)</f>
        <v>21</v>
      </c>
      <c r="C20" s="33">
        <f t="array" ref="C20">MEDIAN(IF(Cacao_ménages!$B$3:$B$90=$A20,Cacao_ménages!$H$3:$H$90))</f>
        <v>4799</v>
      </c>
      <c r="D20" s="33">
        <f>Paramètres!$B$4</f>
        <v>2628</v>
      </c>
      <c r="E20" s="37">
        <f>AVERAGEIF(Cacao_ménages!$B$3:$B$90,$A20,Cacao_ménages!$J$3:$J$90)</f>
        <v>0.76190476190476186</v>
      </c>
      <c r="F20" s="37">
        <f>AVERAGEIF(Cacao_ménages!$B$3:$B$90,$A20,Cacao_ménages!$K$3:$K$90)</f>
        <v>0.7142857142857143</v>
      </c>
      <c r="G20" s="38">
        <f>AVERAGEIF(Cacao_ménages!$B$3:$B$90,$A20,Cacao_ménages!$D$3:$D$90)</f>
        <v>7.7619047619047619</v>
      </c>
      <c r="H20" s="38">
        <f t="array" ref="H20">MEDIAN(IF(Cacao_ménages!$B$3:$B$90=$A20,Cacao_ménages!$E$3:$E$90))</f>
        <v>4</v>
      </c>
      <c r="I20" s="33">
        <f t="array" ref="I20">MEDIAN(IF(Cacao_ménages!$B$3:$B$90=$A20,Cacao_ménages!$F$3:$F$90))</f>
        <v>875</v>
      </c>
      <c r="J20" s="39">
        <f t="array" ref="J20">MEDIAN(IF(Cacao_ménages!$B$3:$B$90=$A20,Cacao_ménages!$G$3:$G$90))</f>
        <v>2.0569999999999999</v>
      </c>
    </row>
    <row r="21" spans="1:10" x14ac:dyDescent="0.3">
      <c r="A21" s="32" t="s">
        <v>124</v>
      </c>
      <c r="B21" s="36">
        <f>COUNTIF(Cacao_ménages!$B$3:$B$90,$A21)</f>
        <v>23</v>
      </c>
      <c r="C21" s="33">
        <f t="array" ref="C21">MEDIAN(IF(Cacao_ménages!$B$3:$B$90=$A21,Cacao_ménages!$H$3:$H$90))</f>
        <v>3060</v>
      </c>
      <c r="D21" s="33">
        <f>Paramètres!$B$4</f>
        <v>2628</v>
      </c>
      <c r="E21" s="37">
        <f>AVERAGEIF(Cacao_ménages!$B$3:$B$90,$A21,Cacao_ménages!$J$3:$J$90)</f>
        <v>0.52173913043478259</v>
      </c>
      <c r="F21" s="37">
        <f>AVERAGEIF(Cacao_ménages!$B$3:$B$90,$A21,Cacao_ménages!$K$3:$K$90)</f>
        <v>0.34782608695652173</v>
      </c>
      <c r="G21" s="38">
        <f>AVERAGEIF(Cacao_ménages!$B$3:$B$90,$A21,Cacao_ménages!$D$3:$D$90)</f>
        <v>11.913043478260869</v>
      </c>
      <c r="H21" s="38">
        <f t="array" ref="H21">MEDIAN(IF(Cacao_ménages!$B$3:$B$90=$A21,Cacao_ménages!$E$3:$E$90))</f>
        <v>4</v>
      </c>
      <c r="I21" s="33">
        <f t="array" ref="I21">MEDIAN(IF(Cacao_ménages!$B$3:$B$90=$A21,Cacao_ménages!$F$3:$F$90))</f>
        <v>441.66699999999997</v>
      </c>
      <c r="J21" s="39">
        <f t="array" ref="J21">MEDIAN(IF(Cacao_ménages!$B$3:$B$90=$A21,Cacao_ménages!$G$3:$G$90))</f>
        <v>4.0039999999999996</v>
      </c>
    </row>
    <row r="22" spans="1:10" x14ac:dyDescent="0.3">
      <c r="A22" s="32" t="s">
        <v>58</v>
      </c>
      <c r="B22" s="40">
        <f>COUNT(Cacao_ménages!$H$3:$H$90)</f>
        <v>88</v>
      </c>
      <c r="C22" s="41">
        <f>MEDIAN(Cacao_ménages!$H$3:$H$90)</f>
        <v>3300.5</v>
      </c>
      <c r="D22" s="41">
        <f>Paramètres!$B$4</f>
        <v>2628</v>
      </c>
      <c r="E22" s="42">
        <f>AVERAGE(Cacao_ménages!$J$3:$J$90)</f>
        <v>0.59090909090909094</v>
      </c>
      <c r="F22" s="42">
        <f>AVERAGE(Cacao_ménages!$K$3:$K$90)</f>
        <v>0.39772727272727271</v>
      </c>
      <c r="G22" s="43">
        <f>AVERAGE(Cacao_ménages!$D$3:$D$90)</f>
        <v>10.329545454545455</v>
      </c>
      <c r="H22" s="43">
        <f>MEDIAN(Cacao_ménages!$E$3:$E$90)</f>
        <v>3</v>
      </c>
      <c r="I22" s="41">
        <f>MEDIAN(Cacao_ménages!$F$3:$F$90)</f>
        <v>566.66700000000003</v>
      </c>
      <c r="J22" s="44">
        <f>MEDIAN(Cacao_ménages!$G$3:$G$90)</f>
        <v>3.6955</v>
      </c>
    </row>
    <row r="30" spans="1:10" x14ac:dyDescent="0.3">
      <c r="A30" s="30" t="s">
        <v>125</v>
      </c>
    </row>
    <row r="31" spans="1:10" x14ac:dyDescent="0.3">
      <c r="A31" s="31" t="s">
        <v>126</v>
      </c>
      <c r="B31" s="31" t="s">
        <v>3</v>
      </c>
      <c r="C31" s="31" t="s">
        <v>54</v>
      </c>
      <c r="D31" s="31" t="s">
        <v>55</v>
      </c>
      <c r="E31" s="31" t="s">
        <v>56</v>
      </c>
      <c r="F31" s="31" t="s">
        <v>57</v>
      </c>
    </row>
    <row r="32" spans="1:10" x14ac:dyDescent="0.3">
      <c r="A32" s="32" t="s">
        <v>3</v>
      </c>
      <c r="B32" s="45">
        <v>12833</v>
      </c>
      <c r="C32" s="45">
        <v>3446</v>
      </c>
      <c r="D32" s="45">
        <v>3880</v>
      </c>
      <c r="E32" s="45">
        <v>1602</v>
      </c>
      <c r="F32" s="45">
        <v>4157</v>
      </c>
    </row>
    <row r="33" spans="1:6" x14ac:dyDescent="0.3">
      <c r="A33" s="32" t="s">
        <v>96</v>
      </c>
      <c r="B33" s="45">
        <v>3864</v>
      </c>
      <c r="C33" s="45">
        <v>2248</v>
      </c>
      <c r="D33" s="45">
        <v>1616</v>
      </c>
      <c r="E33" s="45"/>
      <c r="F33" s="45"/>
    </row>
    <row r="34" spans="1:6" x14ac:dyDescent="0.3">
      <c r="A34" s="32" t="s">
        <v>98</v>
      </c>
      <c r="B34" s="45">
        <v>4170</v>
      </c>
      <c r="C34" s="45">
        <v>2363</v>
      </c>
      <c r="D34" s="45">
        <v>1807</v>
      </c>
      <c r="E34" s="45"/>
      <c r="F34" s="45"/>
    </row>
    <row r="35" spans="1:6" x14ac:dyDescent="0.3">
      <c r="A35" s="32" t="s">
        <v>100</v>
      </c>
      <c r="B35" s="45">
        <v>4065</v>
      </c>
      <c r="C35" s="45">
        <v>2258</v>
      </c>
      <c r="D35" s="45">
        <v>1807</v>
      </c>
      <c r="E35" s="45"/>
      <c r="F35" s="45"/>
    </row>
    <row r="36" spans="1:6" x14ac:dyDescent="0.3">
      <c r="A36" s="32" t="s">
        <v>102</v>
      </c>
      <c r="B36" s="45">
        <v>4295</v>
      </c>
      <c r="C36" s="45">
        <v>2263</v>
      </c>
      <c r="D36" s="45">
        <v>2031</v>
      </c>
      <c r="E36" s="45">
        <v>1</v>
      </c>
      <c r="F36" s="45"/>
    </row>
    <row r="37" spans="1:6" x14ac:dyDescent="0.3">
      <c r="A37" s="32" t="s">
        <v>104</v>
      </c>
      <c r="B37" s="45">
        <v>4529</v>
      </c>
      <c r="C37" s="45">
        <v>2333</v>
      </c>
      <c r="D37" s="45">
        <v>2192</v>
      </c>
      <c r="E37" s="45">
        <v>4</v>
      </c>
      <c r="F37" s="45"/>
    </row>
    <row r="38" spans="1:6" x14ac:dyDescent="0.3">
      <c r="A38" s="32" t="s">
        <v>106</v>
      </c>
      <c r="B38" s="45">
        <v>9326</v>
      </c>
      <c r="C38" s="45">
        <v>2677</v>
      </c>
      <c r="D38" s="45">
        <v>2859</v>
      </c>
      <c r="E38" s="45">
        <v>1</v>
      </c>
      <c r="F38" s="45">
        <v>3789</v>
      </c>
    </row>
    <row r="39" spans="1:6" x14ac:dyDescent="0.3">
      <c r="A39" s="32" t="s">
        <v>108</v>
      </c>
      <c r="B39" s="45">
        <v>12184</v>
      </c>
      <c r="C39" s="45">
        <v>3190</v>
      </c>
      <c r="D39" s="45">
        <v>3316</v>
      </c>
      <c r="E39" s="45">
        <v>1596</v>
      </c>
      <c r="F39" s="45">
        <v>4082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CE1DA"/>
  </sheetPr>
  <dimension ref="A1:T2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20" width="14" customWidth="1"/>
  </cols>
  <sheetData>
    <row r="1" spans="1:20" x14ac:dyDescent="0.3">
      <c r="A1" s="46" t="s">
        <v>127</v>
      </c>
    </row>
    <row r="2" spans="1:20" ht="42" customHeight="1" x14ac:dyDescent="0.3">
      <c r="A2" s="31" t="s">
        <v>2</v>
      </c>
      <c r="B2" s="31" t="s">
        <v>5</v>
      </c>
      <c r="C2" s="31" t="s">
        <v>128</v>
      </c>
      <c r="D2" s="31" t="s">
        <v>11</v>
      </c>
      <c r="E2" s="31" t="s">
        <v>52</v>
      </c>
      <c r="F2" s="31" t="s">
        <v>129</v>
      </c>
      <c r="G2" s="31" t="s">
        <v>91</v>
      </c>
      <c r="H2" s="31" t="s">
        <v>24</v>
      </c>
      <c r="I2" s="31" t="s">
        <v>130</v>
      </c>
      <c r="J2" s="31" t="s">
        <v>131</v>
      </c>
      <c r="K2" s="31" t="s">
        <v>132</v>
      </c>
      <c r="L2" s="31" t="s">
        <v>133</v>
      </c>
      <c r="M2" s="31" t="s">
        <v>134</v>
      </c>
      <c r="N2" s="31" t="s">
        <v>135</v>
      </c>
      <c r="O2" s="31" t="s">
        <v>136</v>
      </c>
      <c r="P2" s="31" t="s">
        <v>137</v>
      </c>
      <c r="Q2" s="31" t="s">
        <v>138</v>
      </c>
      <c r="R2" s="31" t="s">
        <v>139</v>
      </c>
      <c r="S2" s="31" t="s">
        <v>140</v>
      </c>
      <c r="T2" s="31" t="s">
        <v>141</v>
      </c>
    </row>
    <row r="3" spans="1:20" x14ac:dyDescent="0.3">
      <c r="A3" s="47" t="s">
        <v>96</v>
      </c>
      <c r="B3" s="47" t="s">
        <v>54</v>
      </c>
      <c r="C3" s="45">
        <v>2248</v>
      </c>
      <c r="D3" s="45">
        <v>633</v>
      </c>
      <c r="E3" s="45">
        <v>1431</v>
      </c>
      <c r="F3" s="45">
        <v>2248</v>
      </c>
      <c r="G3" s="48">
        <v>1259.03</v>
      </c>
      <c r="H3" s="48">
        <v>1888.54</v>
      </c>
      <c r="I3" s="45">
        <v>1038699</v>
      </c>
      <c r="J3" s="45">
        <v>623219</v>
      </c>
      <c r="K3" s="45">
        <v>0</v>
      </c>
      <c r="L3" s="45">
        <v>0</v>
      </c>
      <c r="M3" s="45">
        <v>2248</v>
      </c>
      <c r="N3" s="45">
        <v>0</v>
      </c>
      <c r="O3" s="45">
        <v>2248</v>
      </c>
      <c r="P3" s="45">
        <v>0</v>
      </c>
      <c r="Q3" s="45">
        <v>2248</v>
      </c>
      <c r="R3" s="45">
        <v>58</v>
      </c>
      <c r="S3" s="45">
        <v>2248</v>
      </c>
      <c r="T3" s="49">
        <f t="shared" ref="T3:T22" si="0">VALUE(A3)</f>
        <v>2019</v>
      </c>
    </row>
    <row r="4" spans="1:20" x14ac:dyDescent="0.3">
      <c r="A4" s="47" t="s">
        <v>96</v>
      </c>
      <c r="B4" s="47" t="s">
        <v>55</v>
      </c>
      <c r="C4" s="45">
        <v>1616</v>
      </c>
      <c r="D4" s="45">
        <v>202</v>
      </c>
      <c r="E4" s="45">
        <v>917</v>
      </c>
      <c r="F4" s="45">
        <v>1589</v>
      </c>
      <c r="G4" s="48">
        <v>899.29</v>
      </c>
      <c r="H4" s="48">
        <v>1348.93</v>
      </c>
      <c r="I4" s="45">
        <v>741911</v>
      </c>
      <c r="J4" s="45">
        <v>445146</v>
      </c>
      <c r="K4" s="45">
        <v>0</v>
      </c>
      <c r="L4" s="45">
        <v>0</v>
      </c>
      <c r="M4" s="45">
        <v>1616</v>
      </c>
      <c r="N4" s="45">
        <v>0</v>
      </c>
      <c r="O4" s="45">
        <v>1616</v>
      </c>
      <c r="P4" s="45">
        <v>0</v>
      </c>
      <c r="Q4" s="45">
        <v>1616</v>
      </c>
      <c r="R4" s="45">
        <v>197</v>
      </c>
      <c r="S4" s="45">
        <v>1616</v>
      </c>
      <c r="T4" s="49">
        <f t="shared" si="0"/>
        <v>2019</v>
      </c>
    </row>
    <row r="5" spans="1:20" x14ac:dyDescent="0.3">
      <c r="A5" s="47" t="s">
        <v>98</v>
      </c>
      <c r="B5" s="47" t="s">
        <v>54</v>
      </c>
      <c r="C5" s="45">
        <v>2363</v>
      </c>
      <c r="D5" s="45">
        <v>656</v>
      </c>
      <c r="E5" s="45">
        <v>1391</v>
      </c>
      <c r="F5" s="45">
        <v>2363</v>
      </c>
      <c r="G5" s="48">
        <v>1296.77</v>
      </c>
      <c r="H5" s="48">
        <v>2204.52</v>
      </c>
      <c r="I5" s="45">
        <v>1212484</v>
      </c>
      <c r="J5" s="45">
        <v>727490</v>
      </c>
      <c r="K5" s="45">
        <v>2349</v>
      </c>
      <c r="L5" s="45">
        <v>0</v>
      </c>
      <c r="M5" s="45">
        <v>14</v>
      </c>
      <c r="N5" s="45">
        <v>0</v>
      </c>
      <c r="O5" s="45">
        <v>232</v>
      </c>
      <c r="P5" s="45">
        <v>2131</v>
      </c>
      <c r="Q5" s="45">
        <v>2059</v>
      </c>
      <c r="R5" s="45">
        <v>146</v>
      </c>
      <c r="S5" s="45">
        <v>2363</v>
      </c>
      <c r="T5" s="49">
        <f t="shared" si="0"/>
        <v>2020</v>
      </c>
    </row>
    <row r="6" spans="1:20" x14ac:dyDescent="0.3">
      <c r="A6" s="47" t="s">
        <v>98</v>
      </c>
      <c r="B6" s="47" t="s">
        <v>55</v>
      </c>
      <c r="C6" s="45">
        <v>1807</v>
      </c>
      <c r="D6" s="45">
        <v>210</v>
      </c>
      <c r="E6" s="45">
        <v>1014</v>
      </c>
      <c r="F6" s="45">
        <v>1807</v>
      </c>
      <c r="G6" s="48">
        <v>1012.07</v>
      </c>
      <c r="H6" s="48">
        <v>1720.52</v>
      </c>
      <c r="I6" s="45">
        <v>946288</v>
      </c>
      <c r="J6" s="45">
        <v>567773</v>
      </c>
      <c r="K6" s="45">
        <v>1807</v>
      </c>
      <c r="L6" s="45">
        <v>0</v>
      </c>
      <c r="M6" s="45">
        <v>0</v>
      </c>
      <c r="N6" s="45">
        <v>0</v>
      </c>
      <c r="O6" s="45">
        <v>606</v>
      </c>
      <c r="P6" s="45">
        <v>1201</v>
      </c>
      <c r="Q6" s="45">
        <v>1807</v>
      </c>
      <c r="R6" s="45">
        <v>0</v>
      </c>
      <c r="S6" s="45">
        <v>1807</v>
      </c>
      <c r="T6" s="49">
        <f t="shared" si="0"/>
        <v>2020</v>
      </c>
    </row>
    <row r="7" spans="1:20" x14ac:dyDescent="0.3">
      <c r="A7" s="47" t="s">
        <v>100</v>
      </c>
      <c r="B7" s="47" t="s">
        <v>54</v>
      </c>
      <c r="C7" s="45">
        <v>2258</v>
      </c>
      <c r="D7" s="45">
        <v>634</v>
      </c>
      <c r="E7" s="45">
        <v>1181</v>
      </c>
      <c r="F7" s="45">
        <v>2258</v>
      </c>
      <c r="G7" s="48">
        <v>1249.67</v>
      </c>
      <c r="H7" s="48">
        <v>4373.84</v>
      </c>
      <c r="I7" s="45">
        <v>2405612</v>
      </c>
      <c r="J7" s="45">
        <v>1443367</v>
      </c>
      <c r="K7" s="45">
        <v>2258</v>
      </c>
      <c r="L7" s="45">
        <v>0</v>
      </c>
      <c r="M7" s="45">
        <v>0</v>
      </c>
      <c r="N7" s="45">
        <v>0</v>
      </c>
      <c r="O7" s="45">
        <v>2</v>
      </c>
      <c r="P7" s="45">
        <v>2136</v>
      </c>
      <c r="Q7" s="45">
        <v>2258</v>
      </c>
      <c r="R7" s="45">
        <v>58</v>
      </c>
      <c r="S7" s="45">
        <v>2258</v>
      </c>
      <c r="T7" s="49">
        <f t="shared" si="0"/>
        <v>2021</v>
      </c>
    </row>
    <row r="8" spans="1:20" x14ac:dyDescent="0.3">
      <c r="A8" s="47" t="s">
        <v>100</v>
      </c>
      <c r="B8" s="47" t="s">
        <v>55</v>
      </c>
      <c r="C8" s="45">
        <v>1807</v>
      </c>
      <c r="D8" s="45">
        <v>210</v>
      </c>
      <c r="E8" s="45">
        <v>914</v>
      </c>
      <c r="F8" s="45">
        <v>1807</v>
      </c>
      <c r="G8" s="48">
        <v>1000.79</v>
      </c>
      <c r="H8" s="48">
        <v>3502.75</v>
      </c>
      <c r="I8" s="45">
        <v>1926514</v>
      </c>
      <c r="J8" s="45">
        <v>1155908</v>
      </c>
      <c r="K8" s="45">
        <v>1807</v>
      </c>
      <c r="L8" s="45">
        <v>0</v>
      </c>
      <c r="M8" s="45">
        <v>0</v>
      </c>
      <c r="N8" s="45">
        <v>0</v>
      </c>
      <c r="O8" s="45">
        <v>0</v>
      </c>
      <c r="P8" s="45">
        <v>1807</v>
      </c>
      <c r="Q8" s="45">
        <v>28</v>
      </c>
      <c r="R8" s="45">
        <v>0</v>
      </c>
      <c r="S8" s="45">
        <v>1807</v>
      </c>
      <c r="T8" s="49">
        <f t="shared" si="0"/>
        <v>2021</v>
      </c>
    </row>
    <row r="9" spans="1:20" x14ac:dyDescent="0.3">
      <c r="A9" s="47" t="s">
        <v>102</v>
      </c>
      <c r="B9" s="47" t="s">
        <v>54</v>
      </c>
      <c r="C9" s="45">
        <v>2263</v>
      </c>
      <c r="D9" s="45">
        <v>633</v>
      </c>
      <c r="E9" s="45">
        <v>1011</v>
      </c>
      <c r="F9" s="45">
        <v>2263</v>
      </c>
      <c r="G9" s="48">
        <v>1255.0899999999999</v>
      </c>
      <c r="H9" s="48">
        <v>4583.62</v>
      </c>
      <c r="I9" s="45">
        <v>2520990</v>
      </c>
      <c r="J9" s="45">
        <v>1512594</v>
      </c>
      <c r="K9" s="45">
        <v>27</v>
      </c>
      <c r="L9" s="45">
        <v>0</v>
      </c>
      <c r="M9" s="45">
        <v>0</v>
      </c>
      <c r="N9" s="45">
        <v>2236</v>
      </c>
      <c r="O9" s="45">
        <v>1</v>
      </c>
      <c r="P9" s="45">
        <v>2256</v>
      </c>
      <c r="Q9" s="45">
        <v>54</v>
      </c>
      <c r="R9" s="45">
        <v>56</v>
      </c>
      <c r="S9" s="45">
        <v>2263</v>
      </c>
      <c r="T9" s="49">
        <f t="shared" si="0"/>
        <v>2022</v>
      </c>
    </row>
    <row r="10" spans="1:20" x14ac:dyDescent="0.3">
      <c r="A10" s="47" t="s">
        <v>102</v>
      </c>
      <c r="B10" s="47" t="s">
        <v>55</v>
      </c>
      <c r="C10" s="45">
        <v>2031</v>
      </c>
      <c r="D10" s="45">
        <v>250</v>
      </c>
      <c r="E10" s="45">
        <v>850</v>
      </c>
      <c r="F10" s="45">
        <v>2023</v>
      </c>
      <c r="G10" s="48">
        <v>1139.69</v>
      </c>
      <c r="H10" s="48">
        <v>4171.2700000000004</v>
      </c>
      <c r="I10" s="45">
        <v>2294198</v>
      </c>
      <c r="J10" s="45">
        <v>1376519</v>
      </c>
      <c r="K10" s="45">
        <v>2016</v>
      </c>
      <c r="L10" s="45">
        <v>0</v>
      </c>
      <c r="M10" s="45">
        <v>0</v>
      </c>
      <c r="N10" s="45">
        <v>15</v>
      </c>
      <c r="O10" s="45">
        <v>247</v>
      </c>
      <c r="P10" s="45">
        <v>1768</v>
      </c>
      <c r="Q10" s="45">
        <v>34</v>
      </c>
      <c r="R10" s="45">
        <v>8</v>
      </c>
      <c r="S10" s="45">
        <v>2031</v>
      </c>
      <c r="T10" s="49">
        <f t="shared" si="0"/>
        <v>2022</v>
      </c>
    </row>
    <row r="11" spans="1:20" x14ac:dyDescent="0.3">
      <c r="A11" s="47" t="s">
        <v>102</v>
      </c>
      <c r="B11" s="47" t="s">
        <v>56</v>
      </c>
      <c r="C11" s="45">
        <v>1</v>
      </c>
      <c r="D11" s="45">
        <v>1</v>
      </c>
      <c r="E11" s="45">
        <v>0</v>
      </c>
      <c r="F11" s="45">
        <v>1</v>
      </c>
      <c r="G11" s="48">
        <v>0.47</v>
      </c>
      <c r="H11" s="48">
        <v>1.9</v>
      </c>
      <c r="I11" s="45">
        <v>1047</v>
      </c>
      <c r="J11" s="45">
        <v>628</v>
      </c>
      <c r="K11" s="45">
        <v>0</v>
      </c>
      <c r="L11" s="45">
        <v>1</v>
      </c>
      <c r="M11" s="45">
        <v>0</v>
      </c>
      <c r="N11" s="45">
        <v>0</v>
      </c>
      <c r="O11" s="45">
        <v>1</v>
      </c>
      <c r="P11" s="45">
        <v>0</v>
      </c>
      <c r="Q11" s="45">
        <v>1</v>
      </c>
      <c r="R11" s="45">
        <v>0</v>
      </c>
      <c r="S11" s="45">
        <v>1</v>
      </c>
      <c r="T11" s="49">
        <f t="shared" si="0"/>
        <v>2022</v>
      </c>
    </row>
    <row r="12" spans="1:20" x14ac:dyDescent="0.3">
      <c r="A12" s="47" t="s">
        <v>104</v>
      </c>
      <c r="B12" s="47" t="s">
        <v>54</v>
      </c>
      <c r="C12" s="45">
        <v>2333</v>
      </c>
      <c r="D12" s="45">
        <v>649</v>
      </c>
      <c r="E12" s="45">
        <v>786</v>
      </c>
      <c r="F12" s="45">
        <v>2333</v>
      </c>
      <c r="G12" s="48">
        <v>1300.1099999999999</v>
      </c>
      <c r="H12" s="48">
        <v>5219.74</v>
      </c>
      <c r="I12" s="45">
        <v>2870858</v>
      </c>
      <c r="J12" s="45">
        <v>1722515</v>
      </c>
      <c r="K12" s="45">
        <v>2319</v>
      </c>
      <c r="L12" s="45">
        <v>0</v>
      </c>
      <c r="M12" s="45">
        <v>14</v>
      </c>
      <c r="N12" s="45">
        <v>0</v>
      </c>
      <c r="O12" s="45">
        <v>0</v>
      </c>
      <c r="P12" s="45">
        <v>2113</v>
      </c>
      <c r="Q12" s="45">
        <v>2028</v>
      </c>
      <c r="R12" s="45">
        <v>144</v>
      </c>
      <c r="S12" s="45">
        <v>2333</v>
      </c>
      <c r="T12" s="49">
        <f t="shared" si="0"/>
        <v>2023</v>
      </c>
    </row>
    <row r="13" spans="1:20" x14ac:dyDescent="0.3">
      <c r="A13" s="47" t="s">
        <v>104</v>
      </c>
      <c r="B13" s="47" t="s">
        <v>55</v>
      </c>
      <c r="C13" s="45">
        <v>2192</v>
      </c>
      <c r="D13" s="45">
        <v>294</v>
      </c>
      <c r="E13" s="45">
        <v>679</v>
      </c>
      <c r="F13" s="45">
        <v>2176</v>
      </c>
      <c r="G13" s="48">
        <v>1208</v>
      </c>
      <c r="H13" s="48">
        <v>4850.12</v>
      </c>
      <c r="I13" s="45">
        <v>2667566</v>
      </c>
      <c r="J13" s="45">
        <v>1600539</v>
      </c>
      <c r="K13" s="45">
        <v>2154</v>
      </c>
      <c r="L13" s="45">
        <v>23</v>
      </c>
      <c r="M13" s="45">
        <v>0</v>
      </c>
      <c r="N13" s="45">
        <v>15</v>
      </c>
      <c r="O13" s="45">
        <v>158</v>
      </c>
      <c r="P13" s="45">
        <v>2031</v>
      </c>
      <c r="Q13" s="45">
        <v>37</v>
      </c>
      <c r="R13" s="45">
        <v>8</v>
      </c>
      <c r="S13" s="45">
        <v>2192</v>
      </c>
      <c r="T13" s="49">
        <f t="shared" si="0"/>
        <v>2023</v>
      </c>
    </row>
    <row r="14" spans="1:20" x14ac:dyDescent="0.3">
      <c r="A14" s="47" t="s">
        <v>104</v>
      </c>
      <c r="B14" s="47" t="s">
        <v>56</v>
      </c>
      <c r="C14" s="45">
        <v>4</v>
      </c>
      <c r="D14" s="45">
        <v>2</v>
      </c>
      <c r="E14" s="45">
        <v>2</v>
      </c>
      <c r="F14" s="45">
        <v>4</v>
      </c>
      <c r="G14" s="48">
        <v>1.89</v>
      </c>
      <c r="H14" s="48">
        <v>7.65</v>
      </c>
      <c r="I14" s="45">
        <v>4207</v>
      </c>
      <c r="J14" s="45">
        <v>2524</v>
      </c>
      <c r="K14" s="45">
        <v>0</v>
      </c>
      <c r="L14" s="45">
        <v>4</v>
      </c>
      <c r="M14" s="45">
        <v>0</v>
      </c>
      <c r="N14" s="45">
        <v>0</v>
      </c>
      <c r="O14" s="45">
        <v>4</v>
      </c>
      <c r="P14" s="45">
        <v>0</v>
      </c>
      <c r="Q14" s="45">
        <v>4</v>
      </c>
      <c r="R14" s="45">
        <v>0</v>
      </c>
      <c r="S14" s="45">
        <v>4</v>
      </c>
      <c r="T14" s="49">
        <f t="shared" si="0"/>
        <v>2023</v>
      </c>
    </row>
    <row r="15" spans="1:20" x14ac:dyDescent="0.3">
      <c r="A15" s="47" t="s">
        <v>106</v>
      </c>
      <c r="B15" s="47" t="s">
        <v>54</v>
      </c>
      <c r="C15" s="45">
        <v>2677</v>
      </c>
      <c r="D15" s="45">
        <v>809</v>
      </c>
      <c r="E15" s="45">
        <v>667</v>
      </c>
      <c r="F15" s="45">
        <v>2677</v>
      </c>
      <c r="G15" s="48">
        <v>1476.33</v>
      </c>
      <c r="H15" s="48">
        <v>5942.24</v>
      </c>
      <c r="I15" s="45">
        <v>3268234</v>
      </c>
      <c r="J15" s="45">
        <v>1960940</v>
      </c>
      <c r="K15" s="45">
        <v>2663</v>
      </c>
      <c r="L15" s="45">
        <v>0</v>
      </c>
      <c r="M15" s="45">
        <v>14</v>
      </c>
      <c r="N15" s="45">
        <v>0</v>
      </c>
      <c r="O15" s="45">
        <v>416</v>
      </c>
      <c r="P15" s="45">
        <v>2214</v>
      </c>
      <c r="Q15" s="45">
        <v>2347</v>
      </c>
      <c r="R15" s="45">
        <v>176</v>
      </c>
      <c r="S15" s="45">
        <v>2677</v>
      </c>
      <c r="T15" s="49">
        <f t="shared" si="0"/>
        <v>2024</v>
      </c>
    </row>
    <row r="16" spans="1:20" x14ac:dyDescent="0.3">
      <c r="A16" s="47" t="s">
        <v>106</v>
      </c>
      <c r="B16" s="47" t="s">
        <v>55</v>
      </c>
      <c r="C16" s="45">
        <v>2859</v>
      </c>
      <c r="D16" s="45">
        <v>380</v>
      </c>
      <c r="E16" s="45">
        <v>911</v>
      </c>
      <c r="F16" s="45">
        <v>2823</v>
      </c>
      <c r="G16" s="48">
        <v>1584.92</v>
      </c>
      <c r="H16" s="48">
        <v>6379.29</v>
      </c>
      <c r="I16" s="45">
        <v>3508607</v>
      </c>
      <c r="J16" s="45">
        <v>2105164</v>
      </c>
      <c r="K16" s="45">
        <v>2162</v>
      </c>
      <c r="L16" s="45">
        <v>562</v>
      </c>
      <c r="M16" s="45">
        <v>0</v>
      </c>
      <c r="N16" s="45">
        <v>135</v>
      </c>
      <c r="O16" s="45">
        <v>773</v>
      </c>
      <c r="P16" s="45">
        <v>2081</v>
      </c>
      <c r="Q16" s="45">
        <v>574</v>
      </c>
      <c r="R16" s="45">
        <v>24</v>
      </c>
      <c r="S16" s="45">
        <v>2859</v>
      </c>
      <c r="T16" s="49">
        <f t="shared" si="0"/>
        <v>2024</v>
      </c>
    </row>
    <row r="17" spans="1:20" x14ac:dyDescent="0.3">
      <c r="A17" s="47" t="s">
        <v>106</v>
      </c>
      <c r="B17" s="47" t="s">
        <v>56</v>
      </c>
      <c r="C17" s="45">
        <v>1</v>
      </c>
      <c r="D17" s="45">
        <v>0</v>
      </c>
      <c r="E17" s="45">
        <v>1</v>
      </c>
      <c r="F17" s="45">
        <v>1</v>
      </c>
      <c r="G17" s="48">
        <v>0.42</v>
      </c>
      <c r="H17" s="48">
        <v>1.72</v>
      </c>
      <c r="I17" s="45">
        <v>947</v>
      </c>
      <c r="J17" s="45">
        <v>568</v>
      </c>
      <c r="K17" s="45">
        <v>0</v>
      </c>
      <c r="L17" s="45">
        <v>1</v>
      </c>
      <c r="M17" s="45">
        <v>0</v>
      </c>
      <c r="N17" s="45">
        <v>0</v>
      </c>
      <c r="O17" s="45">
        <v>1</v>
      </c>
      <c r="P17" s="45">
        <v>0</v>
      </c>
      <c r="Q17" s="45">
        <v>1</v>
      </c>
      <c r="R17" s="45">
        <v>0</v>
      </c>
      <c r="S17" s="45">
        <v>1</v>
      </c>
      <c r="T17" s="49">
        <f t="shared" si="0"/>
        <v>2024</v>
      </c>
    </row>
    <row r="18" spans="1:20" x14ac:dyDescent="0.3">
      <c r="A18" s="47" t="s">
        <v>106</v>
      </c>
      <c r="B18" s="47" t="s">
        <v>57</v>
      </c>
      <c r="C18" s="45">
        <v>3789</v>
      </c>
      <c r="D18" s="45">
        <v>945</v>
      </c>
      <c r="E18" s="45">
        <v>1844</v>
      </c>
      <c r="F18" s="45">
        <v>3759</v>
      </c>
      <c r="G18" s="48">
        <v>2095.5700000000002</v>
      </c>
      <c r="H18" s="48">
        <v>8434.68</v>
      </c>
      <c r="I18" s="45">
        <v>4639074</v>
      </c>
      <c r="J18" s="45">
        <v>2783445</v>
      </c>
      <c r="K18" s="45">
        <v>174</v>
      </c>
      <c r="L18" s="45">
        <v>0</v>
      </c>
      <c r="M18" s="45">
        <v>0</v>
      </c>
      <c r="N18" s="45">
        <v>3615</v>
      </c>
      <c r="O18" s="45">
        <v>3670</v>
      </c>
      <c r="P18" s="45">
        <v>109</v>
      </c>
      <c r="Q18" s="45">
        <v>959</v>
      </c>
      <c r="R18" s="45">
        <v>4</v>
      </c>
      <c r="S18" s="45">
        <v>3789</v>
      </c>
      <c r="T18" s="49">
        <f t="shared" si="0"/>
        <v>2024</v>
      </c>
    </row>
    <row r="19" spans="1:20" x14ac:dyDescent="0.3">
      <c r="A19" s="47" t="s">
        <v>108</v>
      </c>
      <c r="B19" s="47" t="s">
        <v>54</v>
      </c>
      <c r="C19" s="45">
        <v>3190</v>
      </c>
      <c r="D19" s="45">
        <v>1035</v>
      </c>
      <c r="E19" s="45">
        <v>754</v>
      </c>
      <c r="F19" s="45">
        <v>3190</v>
      </c>
      <c r="G19" s="48">
        <v>1771.62</v>
      </c>
      <c r="H19" s="48">
        <v>7175.04</v>
      </c>
      <c r="I19" s="45">
        <v>3946272</v>
      </c>
      <c r="J19" s="45">
        <v>2367763</v>
      </c>
      <c r="K19" s="45">
        <v>3189</v>
      </c>
      <c r="L19" s="45">
        <v>1</v>
      </c>
      <c r="M19" s="45">
        <v>0</v>
      </c>
      <c r="N19" s="45">
        <v>0</v>
      </c>
      <c r="O19" s="45">
        <v>528</v>
      </c>
      <c r="P19" s="45">
        <v>2646</v>
      </c>
      <c r="Q19" s="45">
        <v>2827</v>
      </c>
      <c r="R19" s="45">
        <v>410</v>
      </c>
      <c r="S19" s="45">
        <v>3190</v>
      </c>
      <c r="T19" s="49">
        <f t="shared" si="0"/>
        <v>2025</v>
      </c>
    </row>
    <row r="20" spans="1:20" x14ac:dyDescent="0.3">
      <c r="A20" s="47" t="s">
        <v>108</v>
      </c>
      <c r="B20" s="47" t="s">
        <v>55</v>
      </c>
      <c r="C20" s="45">
        <v>3316</v>
      </c>
      <c r="D20" s="45">
        <v>399</v>
      </c>
      <c r="E20" s="45">
        <v>1863</v>
      </c>
      <c r="F20" s="45">
        <v>3016</v>
      </c>
      <c r="G20" s="48">
        <v>1838.09</v>
      </c>
      <c r="H20" s="48">
        <v>7444.26</v>
      </c>
      <c r="I20" s="45">
        <v>4094342</v>
      </c>
      <c r="J20" s="45">
        <v>2456605</v>
      </c>
      <c r="K20" s="45">
        <v>3315</v>
      </c>
      <c r="L20" s="45">
        <v>1</v>
      </c>
      <c r="M20" s="45">
        <v>0</v>
      </c>
      <c r="N20" s="45">
        <v>0</v>
      </c>
      <c r="O20" s="45">
        <v>446</v>
      </c>
      <c r="P20" s="45">
        <v>2849</v>
      </c>
      <c r="Q20" s="45">
        <v>3316</v>
      </c>
      <c r="R20" s="45">
        <v>82</v>
      </c>
      <c r="S20" s="45">
        <v>3316</v>
      </c>
      <c r="T20" s="49">
        <f t="shared" si="0"/>
        <v>2025</v>
      </c>
    </row>
    <row r="21" spans="1:20" x14ac:dyDescent="0.3">
      <c r="A21" s="47" t="s">
        <v>108</v>
      </c>
      <c r="B21" s="47" t="s">
        <v>56</v>
      </c>
      <c r="C21" s="45">
        <v>1596</v>
      </c>
      <c r="D21" s="45">
        <v>605</v>
      </c>
      <c r="E21" s="45">
        <v>799</v>
      </c>
      <c r="F21" s="45">
        <v>1596</v>
      </c>
      <c r="G21" s="48">
        <v>868.71</v>
      </c>
      <c r="H21" s="48">
        <v>3518.29</v>
      </c>
      <c r="I21" s="45">
        <v>1935060</v>
      </c>
      <c r="J21" s="45">
        <v>1161036</v>
      </c>
      <c r="K21" s="45">
        <v>0</v>
      </c>
      <c r="L21" s="45">
        <v>1596</v>
      </c>
      <c r="M21" s="45">
        <v>0</v>
      </c>
      <c r="N21" s="45">
        <v>0</v>
      </c>
      <c r="O21" s="45">
        <v>1580</v>
      </c>
      <c r="P21" s="45">
        <v>15</v>
      </c>
      <c r="Q21" s="45">
        <v>1596</v>
      </c>
      <c r="R21" s="45">
        <v>0</v>
      </c>
      <c r="S21" s="45">
        <v>1596</v>
      </c>
      <c r="T21" s="49">
        <f t="shared" si="0"/>
        <v>2025</v>
      </c>
    </row>
    <row r="22" spans="1:20" x14ac:dyDescent="0.3">
      <c r="A22" s="47" t="s">
        <v>108</v>
      </c>
      <c r="B22" s="47" t="s">
        <v>57</v>
      </c>
      <c r="C22" s="45">
        <v>4082</v>
      </c>
      <c r="D22" s="45">
        <v>1083</v>
      </c>
      <c r="E22" s="45">
        <v>2031</v>
      </c>
      <c r="F22" s="45">
        <v>4058</v>
      </c>
      <c r="G22" s="48">
        <v>2291.9699999999998</v>
      </c>
      <c r="H22" s="48">
        <v>8294.9</v>
      </c>
      <c r="I22" s="45">
        <v>4562197</v>
      </c>
      <c r="J22" s="45">
        <v>2737318</v>
      </c>
      <c r="K22" s="45">
        <v>4082</v>
      </c>
      <c r="L22" s="45">
        <v>0</v>
      </c>
      <c r="M22" s="45">
        <v>0</v>
      </c>
      <c r="N22" s="45">
        <v>0</v>
      </c>
      <c r="O22" s="45">
        <v>304</v>
      </c>
      <c r="P22" s="45">
        <v>3778</v>
      </c>
      <c r="Q22" s="45">
        <v>3209</v>
      </c>
      <c r="R22" s="45">
        <v>728</v>
      </c>
      <c r="S22" s="45">
        <v>4082</v>
      </c>
      <c r="T22" s="49">
        <f t="shared" si="0"/>
        <v>2025</v>
      </c>
    </row>
  </sheetData>
  <autoFilter ref="A2:T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CE1DA"/>
  </sheetPr>
  <dimension ref="A1:U9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21" width="14" customWidth="1"/>
  </cols>
  <sheetData>
    <row r="1" spans="1:21" x14ac:dyDescent="0.3">
      <c r="A1" s="46" t="s">
        <v>142</v>
      </c>
    </row>
    <row r="2" spans="1:21" ht="42" customHeight="1" x14ac:dyDescent="0.3">
      <c r="A2" s="31" t="s">
        <v>143</v>
      </c>
      <c r="B2" s="31" t="s">
        <v>111</v>
      </c>
      <c r="C2" s="31" t="s">
        <v>144</v>
      </c>
      <c r="D2" s="31" t="s">
        <v>145</v>
      </c>
      <c r="E2" s="31" t="s">
        <v>146</v>
      </c>
      <c r="F2" s="31" t="s">
        <v>147</v>
      </c>
      <c r="G2" s="31" t="s">
        <v>148</v>
      </c>
      <c r="H2" s="31" t="s">
        <v>149</v>
      </c>
      <c r="I2" s="31" t="s">
        <v>150</v>
      </c>
      <c r="J2" s="31" t="s">
        <v>151</v>
      </c>
      <c r="K2" s="31" t="s">
        <v>152</v>
      </c>
      <c r="L2" s="31" t="s">
        <v>40</v>
      </c>
      <c r="M2" s="31" t="s">
        <v>153</v>
      </c>
      <c r="N2" s="31" t="s">
        <v>154</v>
      </c>
      <c r="O2" s="31" t="s">
        <v>155</v>
      </c>
      <c r="P2" s="31" t="s">
        <v>107</v>
      </c>
      <c r="Q2" s="31" t="s">
        <v>97</v>
      </c>
      <c r="R2" s="31" t="s">
        <v>101</v>
      </c>
      <c r="S2" s="31" t="s">
        <v>105</v>
      </c>
      <c r="T2" s="31" t="s">
        <v>103</v>
      </c>
      <c r="U2" s="31" t="s">
        <v>156</v>
      </c>
    </row>
    <row r="3" spans="1:21" x14ac:dyDescent="0.3">
      <c r="A3" s="50">
        <v>1</v>
      </c>
      <c r="B3" s="51" t="s">
        <v>121</v>
      </c>
      <c r="C3" s="51" t="s">
        <v>157</v>
      </c>
      <c r="D3" s="50">
        <v>13</v>
      </c>
      <c r="E3" s="52">
        <v>4</v>
      </c>
      <c r="F3" s="45">
        <v>300</v>
      </c>
      <c r="G3" s="53">
        <v>3.5590000000000002</v>
      </c>
      <c r="H3" s="45">
        <v>4565</v>
      </c>
      <c r="I3" s="45">
        <v>5694</v>
      </c>
      <c r="J3" s="50">
        <v>1</v>
      </c>
      <c r="K3" s="50">
        <v>0</v>
      </c>
      <c r="L3" s="53">
        <v>0.96199999999999997</v>
      </c>
      <c r="M3" s="45">
        <v>1365</v>
      </c>
      <c r="N3" s="45">
        <v>3640</v>
      </c>
      <c r="O3" s="45">
        <v>0</v>
      </c>
      <c r="P3" s="45">
        <v>825</v>
      </c>
      <c r="Q3" s="45">
        <v>100</v>
      </c>
      <c r="R3" s="45">
        <v>0</v>
      </c>
      <c r="S3" s="45">
        <v>0</v>
      </c>
      <c r="T3" s="45">
        <v>0</v>
      </c>
      <c r="U3" s="50">
        <v>0</v>
      </c>
    </row>
    <row r="4" spans="1:21" x14ac:dyDescent="0.3">
      <c r="A4" s="50">
        <v>2</v>
      </c>
      <c r="B4" s="51" t="s">
        <v>121</v>
      </c>
      <c r="C4" s="51" t="s">
        <v>157</v>
      </c>
      <c r="D4" s="50">
        <v>10</v>
      </c>
      <c r="E4" s="52">
        <v>2</v>
      </c>
      <c r="F4" s="45">
        <v>400</v>
      </c>
      <c r="G4" s="53">
        <v>4</v>
      </c>
      <c r="H4" s="45">
        <v>1692</v>
      </c>
      <c r="I4" s="45">
        <v>4380</v>
      </c>
      <c r="J4" s="50">
        <v>0</v>
      </c>
      <c r="K4" s="50">
        <v>0</v>
      </c>
      <c r="L4" s="53">
        <v>0.46400000000000002</v>
      </c>
      <c r="M4" s="45">
        <v>437</v>
      </c>
      <c r="N4" s="45">
        <v>2198</v>
      </c>
      <c r="O4" s="45">
        <v>0</v>
      </c>
      <c r="P4" s="45">
        <v>-456</v>
      </c>
      <c r="Q4" s="45">
        <v>-50</v>
      </c>
      <c r="R4" s="45">
        <v>0</v>
      </c>
      <c r="S4" s="45">
        <v>0</v>
      </c>
      <c r="T4" s="45">
        <v>0</v>
      </c>
      <c r="U4" s="50">
        <v>0</v>
      </c>
    </row>
    <row r="5" spans="1:21" x14ac:dyDescent="0.3">
      <c r="A5" s="50">
        <v>3</v>
      </c>
      <c r="B5" s="51" t="s">
        <v>121</v>
      </c>
      <c r="C5" s="51" t="s">
        <v>157</v>
      </c>
      <c r="D5" s="50">
        <v>6</v>
      </c>
      <c r="E5" s="52">
        <v>3</v>
      </c>
      <c r="F5" s="45">
        <v>520</v>
      </c>
      <c r="G5" s="53">
        <v>3.64</v>
      </c>
      <c r="H5" s="45">
        <v>1360</v>
      </c>
      <c r="I5" s="45">
        <v>2628</v>
      </c>
      <c r="J5" s="50">
        <v>0</v>
      </c>
      <c r="K5" s="50">
        <v>0</v>
      </c>
      <c r="L5" s="53">
        <v>0.621</v>
      </c>
      <c r="M5" s="45">
        <v>320</v>
      </c>
      <c r="N5" s="45">
        <v>1410</v>
      </c>
      <c r="O5" s="45">
        <v>0</v>
      </c>
      <c r="P5" s="45">
        <v>0</v>
      </c>
      <c r="Q5" s="45">
        <v>-50</v>
      </c>
      <c r="R5" s="45">
        <v>0</v>
      </c>
      <c r="S5" s="45">
        <v>0</v>
      </c>
      <c r="T5" s="45">
        <v>0</v>
      </c>
      <c r="U5" s="50">
        <v>0</v>
      </c>
    </row>
    <row r="6" spans="1:21" x14ac:dyDescent="0.3">
      <c r="A6" s="50">
        <v>4</v>
      </c>
      <c r="B6" s="51" t="s">
        <v>121</v>
      </c>
      <c r="C6" s="51" t="s">
        <v>157</v>
      </c>
      <c r="D6" s="50">
        <v>10</v>
      </c>
      <c r="E6" s="52">
        <v>6</v>
      </c>
      <c r="F6" s="45">
        <v>425</v>
      </c>
      <c r="G6" s="53">
        <v>3.7189999999999999</v>
      </c>
      <c r="H6" s="45">
        <v>6543</v>
      </c>
      <c r="I6" s="45">
        <v>4380</v>
      </c>
      <c r="J6" s="50">
        <v>1</v>
      </c>
      <c r="K6" s="50">
        <v>1</v>
      </c>
      <c r="L6" s="53">
        <v>1.7929999999999999</v>
      </c>
      <c r="M6" s="45">
        <v>2918</v>
      </c>
      <c r="N6" s="45">
        <v>5304</v>
      </c>
      <c r="O6" s="45">
        <v>95</v>
      </c>
      <c r="P6" s="45">
        <v>1144</v>
      </c>
      <c r="Q6" s="45">
        <v>0</v>
      </c>
      <c r="R6" s="45">
        <v>0</v>
      </c>
      <c r="S6" s="45">
        <v>0</v>
      </c>
      <c r="T6" s="45">
        <v>0</v>
      </c>
      <c r="U6" s="50">
        <v>0</v>
      </c>
    </row>
    <row r="7" spans="1:21" x14ac:dyDescent="0.3">
      <c r="A7" s="50">
        <v>5</v>
      </c>
      <c r="B7" s="51" t="s">
        <v>121</v>
      </c>
      <c r="C7" s="51" t="s">
        <v>157</v>
      </c>
      <c r="D7" s="50">
        <v>9</v>
      </c>
      <c r="E7" s="52">
        <v>2</v>
      </c>
      <c r="F7" s="45">
        <v>550</v>
      </c>
      <c r="G7" s="53">
        <v>2.75</v>
      </c>
      <c r="H7" s="45">
        <v>2545</v>
      </c>
      <c r="I7" s="45">
        <v>3942</v>
      </c>
      <c r="J7" s="50">
        <v>0</v>
      </c>
      <c r="K7" s="50">
        <v>0</v>
      </c>
      <c r="L7" s="53">
        <v>0.77500000000000002</v>
      </c>
      <c r="M7" s="45">
        <v>250</v>
      </c>
      <c r="N7" s="45">
        <v>2670</v>
      </c>
      <c r="O7" s="45">
        <v>0</v>
      </c>
      <c r="P7" s="45">
        <v>-125</v>
      </c>
      <c r="Q7" s="45">
        <v>0</v>
      </c>
      <c r="R7" s="45">
        <v>0</v>
      </c>
      <c r="S7" s="45">
        <v>0</v>
      </c>
      <c r="T7" s="45">
        <v>0</v>
      </c>
      <c r="U7" s="50">
        <v>0</v>
      </c>
    </row>
    <row r="8" spans="1:21" x14ac:dyDescent="0.3">
      <c r="A8" s="50">
        <v>6</v>
      </c>
      <c r="B8" s="51" t="s">
        <v>121</v>
      </c>
      <c r="C8" s="51" t="s">
        <v>157</v>
      </c>
      <c r="D8" s="50">
        <v>5</v>
      </c>
      <c r="E8" s="52">
        <v>2</v>
      </c>
      <c r="F8" s="45">
        <v>290</v>
      </c>
      <c r="G8" s="53">
        <v>3.625</v>
      </c>
      <c r="H8" s="45">
        <v>1652</v>
      </c>
      <c r="I8" s="45">
        <v>2190</v>
      </c>
      <c r="J8" s="50">
        <v>0</v>
      </c>
      <c r="K8" s="50">
        <v>0</v>
      </c>
      <c r="L8" s="53">
        <v>0.90500000000000003</v>
      </c>
      <c r="M8" s="45">
        <v>542</v>
      </c>
      <c r="N8" s="45">
        <v>907</v>
      </c>
      <c r="O8" s="45">
        <v>0</v>
      </c>
      <c r="P8" s="45">
        <v>675</v>
      </c>
      <c r="Q8" s="45">
        <v>70</v>
      </c>
      <c r="R8" s="45">
        <v>0</v>
      </c>
      <c r="S8" s="45">
        <v>0</v>
      </c>
      <c r="T8" s="45">
        <v>0</v>
      </c>
      <c r="U8" s="50">
        <v>0</v>
      </c>
    </row>
    <row r="9" spans="1:21" x14ac:dyDescent="0.3">
      <c r="A9" s="50">
        <v>7</v>
      </c>
      <c r="B9" s="51" t="s">
        <v>121</v>
      </c>
      <c r="C9" s="51" t="s">
        <v>157</v>
      </c>
      <c r="D9" s="50">
        <v>9</v>
      </c>
      <c r="E9" s="52">
        <v>4</v>
      </c>
      <c r="F9" s="45">
        <v>450</v>
      </c>
      <c r="G9" s="53">
        <v>3.5390000000000001</v>
      </c>
      <c r="H9" s="45">
        <v>1905</v>
      </c>
      <c r="I9" s="45">
        <v>3942</v>
      </c>
      <c r="J9" s="50">
        <v>0</v>
      </c>
      <c r="K9" s="50">
        <v>0</v>
      </c>
      <c r="L9" s="53">
        <v>0.57999999999999996</v>
      </c>
      <c r="M9" s="45">
        <v>780</v>
      </c>
      <c r="N9" s="45">
        <v>1955</v>
      </c>
      <c r="O9" s="45">
        <v>0</v>
      </c>
      <c r="P9" s="45">
        <v>0</v>
      </c>
      <c r="Q9" s="45">
        <v>-50</v>
      </c>
      <c r="R9" s="45">
        <v>0</v>
      </c>
      <c r="S9" s="45">
        <v>0</v>
      </c>
      <c r="T9" s="45">
        <v>0</v>
      </c>
      <c r="U9" s="50">
        <v>0</v>
      </c>
    </row>
    <row r="10" spans="1:21" x14ac:dyDescent="0.3">
      <c r="A10" s="50">
        <v>8</v>
      </c>
      <c r="B10" s="51" t="s">
        <v>121</v>
      </c>
      <c r="C10" s="51" t="s">
        <v>157</v>
      </c>
      <c r="D10" s="50">
        <v>14</v>
      </c>
      <c r="E10" s="52">
        <v>7</v>
      </c>
      <c r="F10" s="45">
        <v>750</v>
      </c>
      <c r="G10" s="53">
        <v>3.75</v>
      </c>
      <c r="H10" s="45">
        <v>4975</v>
      </c>
      <c r="I10" s="45">
        <v>6132</v>
      </c>
      <c r="J10" s="50">
        <v>1</v>
      </c>
      <c r="K10" s="50">
        <v>0</v>
      </c>
      <c r="L10" s="53">
        <v>0.97399999999999998</v>
      </c>
      <c r="M10" s="45">
        <v>3</v>
      </c>
      <c r="N10" s="45">
        <v>4640</v>
      </c>
      <c r="O10" s="45">
        <v>0</v>
      </c>
      <c r="P10" s="45">
        <v>335</v>
      </c>
      <c r="Q10" s="45">
        <v>0</v>
      </c>
      <c r="R10" s="45">
        <v>0</v>
      </c>
      <c r="S10" s="45">
        <v>0</v>
      </c>
      <c r="T10" s="45">
        <v>0</v>
      </c>
      <c r="U10" s="50">
        <v>0</v>
      </c>
    </row>
    <row r="11" spans="1:21" x14ac:dyDescent="0.3">
      <c r="A11" s="50">
        <v>9</v>
      </c>
      <c r="B11" s="51" t="s">
        <v>121</v>
      </c>
      <c r="C11" s="51" t="s">
        <v>158</v>
      </c>
      <c r="D11" s="50">
        <v>9</v>
      </c>
      <c r="E11" s="52">
        <v>2</v>
      </c>
      <c r="F11" s="45">
        <v>75</v>
      </c>
      <c r="G11" s="53">
        <v>3.75</v>
      </c>
      <c r="H11" s="45">
        <v>461.5</v>
      </c>
      <c r="I11" s="45">
        <v>3942</v>
      </c>
      <c r="J11" s="50">
        <v>0</v>
      </c>
      <c r="K11" s="50">
        <v>0</v>
      </c>
      <c r="L11" s="53">
        <v>0.14000000000000001</v>
      </c>
      <c r="M11" s="45">
        <v>-413.5</v>
      </c>
      <c r="N11" s="45">
        <v>176.5</v>
      </c>
      <c r="O11" s="45">
        <v>0</v>
      </c>
      <c r="P11" s="45">
        <v>285</v>
      </c>
      <c r="Q11" s="45">
        <v>0</v>
      </c>
      <c r="R11" s="45">
        <v>0</v>
      </c>
      <c r="S11" s="45">
        <v>0</v>
      </c>
      <c r="T11" s="45">
        <v>0</v>
      </c>
      <c r="U11" s="50">
        <v>0</v>
      </c>
    </row>
    <row r="12" spans="1:21" x14ac:dyDescent="0.3">
      <c r="A12" s="50">
        <v>10</v>
      </c>
      <c r="B12" s="51" t="s">
        <v>121</v>
      </c>
      <c r="C12" s="51" t="s">
        <v>157</v>
      </c>
      <c r="D12" s="50">
        <v>10</v>
      </c>
      <c r="E12" s="52">
        <v>4</v>
      </c>
      <c r="F12" s="45">
        <v>300</v>
      </c>
      <c r="G12" s="53">
        <v>3.5920000000000001</v>
      </c>
      <c r="H12" s="45">
        <v>3140</v>
      </c>
      <c r="I12" s="45">
        <v>4380</v>
      </c>
      <c r="J12" s="50">
        <v>1</v>
      </c>
      <c r="K12" s="50">
        <v>0</v>
      </c>
      <c r="L12" s="53">
        <v>0.86</v>
      </c>
      <c r="M12" s="45">
        <v>755</v>
      </c>
      <c r="N12" s="45">
        <v>3190</v>
      </c>
      <c r="O12" s="45">
        <v>0</v>
      </c>
      <c r="P12" s="45">
        <v>0</v>
      </c>
      <c r="Q12" s="45">
        <v>-50</v>
      </c>
      <c r="R12" s="45">
        <v>0</v>
      </c>
      <c r="S12" s="45">
        <v>0</v>
      </c>
      <c r="T12" s="45">
        <v>0</v>
      </c>
      <c r="U12" s="50">
        <v>0</v>
      </c>
    </row>
    <row r="13" spans="1:21" x14ac:dyDescent="0.3">
      <c r="A13" s="50">
        <v>11</v>
      </c>
      <c r="B13" s="51" t="s">
        <v>121</v>
      </c>
      <c r="C13" s="51" t="s">
        <v>158</v>
      </c>
      <c r="D13" s="50">
        <v>6</v>
      </c>
      <c r="E13" s="52">
        <v>1</v>
      </c>
      <c r="F13" s="45">
        <v>140</v>
      </c>
      <c r="G13" s="53">
        <v>3.5</v>
      </c>
      <c r="H13" s="45">
        <v>403</v>
      </c>
      <c r="I13" s="45">
        <v>2628</v>
      </c>
      <c r="J13" s="50">
        <v>0</v>
      </c>
      <c r="K13" s="50">
        <v>0</v>
      </c>
      <c r="L13" s="53">
        <v>0.184</v>
      </c>
      <c r="M13" s="45">
        <v>-614</v>
      </c>
      <c r="N13" s="45">
        <v>228</v>
      </c>
      <c r="O13" s="45">
        <v>0</v>
      </c>
      <c r="P13" s="45">
        <v>185</v>
      </c>
      <c r="Q13" s="45">
        <v>-10</v>
      </c>
      <c r="R13" s="45">
        <v>0</v>
      </c>
      <c r="S13" s="45">
        <v>0</v>
      </c>
      <c r="T13" s="45">
        <v>0</v>
      </c>
      <c r="U13" s="50">
        <v>0</v>
      </c>
    </row>
    <row r="14" spans="1:21" x14ac:dyDescent="0.3">
      <c r="A14" s="50">
        <v>12</v>
      </c>
      <c r="B14" s="51" t="s">
        <v>121</v>
      </c>
      <c r="C14" s="51" t="s">
        <v>157</v>
      </c>
      <c r="D14" s="50">
        <v>8</v>
      </c>
      <c r="E14" s="52">
        <v>2.5</v>
      </c>
      <c r="F14" s="45">
        <v>300</v>
      </c>
      <c r="G14" s="53">
        <v>3.621</v>
      </c>
      <c r="H14" s="45">
        <v>2975</v>
      </c>
      <c r="I14" s="45">
        <v>3504</v>
      </c>
      <c r="J14" s="50">
        <v>1</v>
      </c>
      <c r="K14" s="50">
        <v>0</v>
      </c>
      <c r="L14" s="53">
        <v>1.0189999999999999</v>
      </c>
      <c r="M14" s="45">
        <v>360</v>
      </c>
      <c r="N14" s="45">
        <v>835</v>
      </c>
      <c r="O14" s="45">
        <v>0</v>
      </c>
      <c r="P14" s="45">
        <v>2150</v>
      </c>
      <c r="Q14" s="45">
        <v>-10</v>
      </c>
      <c r="R14" s="45">
        <v>0</v>
      </c>
      <c r="S14" s="45">
        <v>0</v>
      </c>
      <c r="T14" s="45">
        <v>0</v>
      </c>
      <c r="U14" s="50">
        <v>0</v>
      </c>
    </row>
    <row r="15" spans="1:21" x14ac:dyDescent="0.3">
      <c r="A15" s="50">
        <v>13</v>
      </c>
      <c r="B15" s="51" t="s">
        <v>121</v>
      </c>
      <c r="C15" s="51" t="s">
        <v>157</v>
      </c>
      <c r="D15" s="50">
        <v>7</v>
      </c>
      <c r="E15" s="52">
        <v>25</v>
      </c>
      <c r="F15" s="45">
        <v>600</v>
      </c>
      <c r="G15" s="53">
        <v>3.75</v>
      </c>
      <c r="H15" s="45">
        <v>11705</v>
      </c>
      <c r="I15" s="45">
        <v>3066</v>
      </c>
      <c r="J15" s="50">
        <v>1</v>
      </c>
      <c r="K15" s="50">
        <v>1</v>
      </c>
      <c r="L15" s="53">
        <v>4.5810000000000004</v>
      </c>
      <c r="M15" s="45">
        <v>4905</v>
      </c>
      <c r="N15" s="45">
        <v>9820</v>
      </c>
      <c r="O15" s="45">
        <v>0</v>
      </c>
      <c r="P15" s="45">
        <v>680</v>
      </c>
      <c r="Q15" s="45">
        <v>205</v>
      </c>
      <c r="R15" s="45">
        <v>0</v>
      </c>
      <c r="S15" s="45">
        <v>1000</v>
      </c>
      <c r="T15" s="45">
        <v>0</v>
      </c>
      <c r="U15" s="50">
        <v>0</v>
      </c>
    </row>
    <row r="16" spans="1:21" x14ac:dyDescent="0.3">
      <c r="A16" s="50">
        <v>14</v>
      </c>
      <c r="B16" s="51" t="s">
        <v>121</v>
      </c>
      <c r="C16" s="51" t="s">
        <v>157</v>
      </c>
      <c r="D16" s="50">
        <v>3</v>
      </c>
      <c r="E16" s="52">
        <v>1.5</v>
      </c>
      <c r="F16" s="45">
        <v>650</v>
      </c>
      <c r="G16" s="53">
        <v>3.7080000000000002</v>
      </c>
      <c r="H16" s="45">
        <v>2350</v>
      </c>
      <c r="I16" s="45">
        <v>1314</v>
      </c>
      <c r="J16" s="50">
        <v>0</v>
      </c>
      <c r="K16" s="50">
        <v>1</v>
      </c>
      <c r="L16" s="53">
        <v>2.1459999999999999</v>
      </c>
      <c r="M16" s="45">
        <v>880</v>
      </c>
      <c r="N16" s="45">
        <v>2005</v>
      </c>
      <c r="O16" s="45">
        <v>0</v>
      </c>
      <c r="P16" s="45">
        <v>345</v>
      </c>
      <c r="Q16" s="45">
        <v>0</v>
      </c>
      <c r="R16" s="45">
        <v>0</v>
      </c>
      <c r="S16" s="45">
        <v>0</v>
      </c>
      <c r="T16" s="45">
        <v>0</v>
      </c>
      <c r="U16" s="50">
        <v>0</v>
      </c>
    </row>
    <row r="17" spans="1:21" x14ac:dyDescent="0.3">
      <c r="A17" s="50">
        <v>15</v>
      </c>
      <c r="B17" s="51" t="s">
        <v>121</v>
      </c>
      <c r="C17" s="51" t="s">
        <v>157</v>
      </c>
      <c r="D17" s="50">
        <v>9</v>
      </c>
      <c r="E17" s="52">
        <v>3</v>
      </c>
      <c r="F17" s="45">
        <v>1300</v>
      </c>
      <c r="G17" s="53">
        <v>3.5270000000000001</v>
      </c>
      <c r="H17" s="45">
        <v>3072</v>
      </c>
      <c r="I17" s="45">
        <v>3942</v>
      </c>
      <c r="J17" s="50">
        <v>1</v>
      </c>
      <c r="K17" s="50">
        <v>0</v>
      </c>
      <c r="L17" s="53">
        <v>0.93500000000000005</v>
      </c>
      <c r="M17" s="45">
        <v>542</v>
      </c>
      <c r="N17" s="45">
        <v>2727</v>
      </c>
      <c r="O17" s="45">
        <v>0</v>
      </c>
      <c r="P17" s="45">
        <v>345</v>
      </c>
      <c r="Q17" s="45">
        <v>0</v>
      </c>
      <c r="R17" s="45">
        <v>0</v>
      </c>
      <c r="S17" s="45">
        <v>0</v>
      </c>
      <c r="T17" s="45">
        <v>0</v>
      </c>
      <c r="U17" s="50">
        <v>0</v>
      </c>
    </row>
    <row r="18" spans="1:21" x14ac:dyDescent="0.3">
      <c r="A18" s="50">
        <v>16</v>
      </c>
      <c r="B18" s="51" t="s">
        <v>121</v>
      </c>
      <c r="C18" s="51" t="s">
        <v>157</v>
      </c>
      <c r="D18" s="50">
        <v>8</v>
      </c>
      <c r="E18" s="52">
        <v>5</v>
      </c>
      <c r="F18" s="45">
        <v>566.66700000000003</v>
      </c>
      <c r="G18" s="53">
        <v>3.0619999999999998</v>
      </c>
      <c r="H18" s="45">
        <v>6151</v>
      </c>
      <c r="I18" s="45">
        <v>3504</v>
      </c>
      <c r="J18" s="50">
        <v>1</v>
      </c>
      <c r="K18" s="50">
        <v>1</v>
      </c>
      <c r="L18" s="53">
        <v>2.1070000000000002</v>
      </c>
      <c r="M18" s="45">
        <v>3711</v>
      </c>
      <c r="N18" s="45">
        <v>3996</v>
      </c>
      <c r="O18" s="45">
        <v>0</v>
      </c>
      <c r="P18" s="45">
        <v>-320</v>
      </c>
      <c r="Q18" s="45">
        <v>200</v>
      </c>
      <c r="R18" s="45">
        <v>2275</v>
      </c>
      <c r="S18" s="45">
        <v>0</v>
      </c>
      <c r="T18" s="45">
        <v>0</v>
      </c>
      <c r="U18" s="50">
        <v>0</v>
      </c>
    </row>
    <row r="19" spans="1:21" x14ac:dyDescent="0.3">
      <c r="A19" s="50">
        <v>17</v>
      </c>
      <c r="B19" s="51" t="s">
        <v>121</v>
      </c>
      <c r="C19" s="51" t="s">
        <v>158</v>
      </c>
      <c r="D19" s="50">
        <v>5</v>
      </c>
      <c r="E19" s="52">
        <v>3</v>
      </c>
      <c r="F19" s="45">
        <v>28.125</v>
      </c>
      <c r="G19" s="53">
        <v>3.9380000000000002</v>
      </c>
      <c r="H19" s="45">
        <v>1503</v>
      </c>
      <c r="I19" s="45">
        <v>2190</v>
      </c>
      <c r="J19" s="50">
        <v>0</v>
      </c>
      <c r="K19" s="50">
        <v>0</v>
      </c>
      <c r="L19" s="53">
        <v>0.82399999999999995</v>
      </c>
      <c r="M19" s="45">
        <v>403</v>
      </c>
      <c r="N19" s="45">
        <v>1265</v>
      </c>
      <c r="O19" s="45">
        <v>0</v>
      </c>
      <c r="P19" s="45">
        <v>0</v>
      </c>
      <c r="Q19" s="45">
        <v>0</v>
      </c>
      <c r="R19" s="45">
        <v>238</v>
      </c>
      <c r="S19" s="45">
        <v>0</v>
      </c>
      <c r="T19" s="45">
        <v>0</v>
      </c>
      <c r="U19" s="50">
        <v>0</v>
      </c>
    </row>
    <row r="20" spans="1:21" x14ac:dyDescent="0.3">
      <c r="A20" s="50">
        <v>18</v>
      </c>
      <c r="B20" s="51" t="s">
        <v>121</v>
      </c>
      <c r="C20" s="51" t="s">
        <v>157</v>
      </c>
      <c r="D20" s="50">
        <v>10</v>
      </c>
      <c r="E20" s="52">
        <v>3</v>
      </c>
      <c r="F20" s="45">
        <v>1450</v>
      </c>
      <c r="G20" s="53">
        <v>3.625</v>
      </c>
      <c r="H20" s="45">
        <v>835</v>
      </c>
      <c r="I20" s="45">
        <v>4380</v>
      </c>
      <c r="J20" s="50">
        <v>0</v>
      </c>
      <c r="K20" s="50">
        <v>0</v>
      </c>
      <c r="L20" s="53">
        <v>0.22900000000000001</v>
      </c>
      <c r="M20" s="45">
        <v>1557</v>
      </c>
      <c r="N20" s="45">
        <v>-2315</v>
      </c>
      <c r="O20" s="45">
        <v>0</v>
      </c>
      <c r="P20" s="45">
        <v>425</v>
      </c>
      <c r="Q20" s="45">
        <v>425</v>
      </c>
      <c r="R20" s="45">
        <v>0</v>
      </c>
      <c r="S20" s="45">
        <v>0</v>
      </c>
      <c r="T20" s="45">
        <v>2300</v>
      </c>
      <c r="U20" s="50">
        <v>1</v>
      </c>
    </row>
    <row r="21" spans="1:21" x14ac:dyDescent="0.3">
      <c r="A21" s="50">
        <v>19</v>
      </c>
      <c r="B21" s="51" t="s">
        <v>121</v>
      </c>
      <c r="C21" s="51" t="s">
        <v>157</v>
      </c>
      <c r="D21" s="50">
        <v>7</v>
      </c>
      <c r="E21" s="52">
        <v>2</v>
      </c>
      <c r="F21" s="45">
        <v>875</v>
      </c>
      <c r="G21" s="53">
        <v>3.8969999999999998</v>
      </c>
      <c r="H21" s="45">
        <v>6127</v>
      </c>
      <c r="I21" s="45">
        <v>3066</v>
      </c>
      <c r="J21" s="50">
        <v>1</v>
      </c>
      <c r="K21" s="50">
        <v>1</v>
      </c>
      <c r="L21" s="53">
        <v>2.3980000000000001</v>
      </c>
      <c r="M21" s="45">
        <v>1565</v>
      </c>
      <c r="N21" s="45">
        <v>6177</v>
      </c>
      <c r="O21" s="45">
        <v>0</v>
      </c>
      <c r="P21" s="45">
        <v>-50</v>
      </c>
      <c r="Q21" s="45">
        <v>0</v>
      </c>
      <c r="R21" s="45">
        <v>0</v>
      </c>
      <c r="S21" s="45">
        <v>0</v>
      </c>
      <c r="T21" s="45">
        <v>0</v>
      </c>
      <c r="U21" s="50">
        <v>0</v>
      </c>
    </row>
    <row r="22" spans="1:21" x14ac:dyDescent="0.3">
      <c r="A22" s="50">
        <v>20</v>
      </c>
      <c r="B22" s="51" t="s">
        <v>121</v>
      </c>
      <c r="C22" s="51" t="s">
        <v>157</v>
      </c>
      <c r="D22" s="50">
        <v>17</v>
      </c>
      <c r="E22" s="52">
        <v>6</v>
      </c>
      <c r="F22" s="45">
        <v>1050</v>
      </c>
      <c r="G22" s="53">
        <v>3.5680000000000001</v>
      </c>
      <c r="H22" s="45">
        <v>3461</v>
      </c>
      <c r="I22" s="45">
        <v>7446</v>
      </c>
      <c r="J22" s="50">
        <v>1</v>
      </c>
      <c r="K22" s="50">
        <v>0</v>
      </c>
      <c r="L22" s="53">
        <v>0.55800000000000005</v>
      </c>
      <c r="M22" s="45">
        <v>-74</v>
      </c>
      <c r="N22" s="45">
        <v>3460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1</v>
      </c>
      <c r="U22" s="50">
        <v>0</v>
      </c>
    </row>
    <row r="23" spans="1:21" x14ac:dyDescent="0.3">
      <c r="A23" s="50">
        <v>21</v>
      </c>
      <c r="B23" s="51" t="s">
        <v>121</v>
      </c>
      <c r="C23" s="51" t="s">
        <v>157</v>
      </c>
      <c r="D23" s="50">
        <v>11</v>
      </c>
      <c r="E23" s="52">
        <v>5</v>
      </c>
      <c r="F23" s="45">
        <v>350</v>
      </c>
      <c r="G23" s="53">
        <v>3.5</v>
      </c>
      <c r="H23" s="45">
        <v>2535</v>
      </c>
      <c r="I23" s="45">
        <v>4818</v>
      </c>
      <c r="J23" s="50">
        <v>0</v>
      </c>
      <c r="K23" s="50">
        <v>0</v>
      </c>
      <c r="L23" s="53">
        <v>0.63100000000000001</v>
      </c>
      <c r="M23" s="45">
        <v>260</v>
      </c>
      <c r="N23" s="45">
        <v>2300</v>
      </c>
      <c r="O23" s="45">
        <v>0</v>
      </c>
      <c r="P23" s="45">
        <v>295</v>
      </c>
      <c r="Q23" s="45">
        <v>-60</v>
      </c>
      <c r="R23" s="45">
        <v>0</v>
      </c>
      <c r="S23" s="45">
        <v>0</v>
      </c>
      <c r="T23" s="45">
        <v>0</v>
      </c>
      <c r="U23" s="50">
        <v>0</v>
      </c>
    </row>
    <row r="24" spans="1:21" x14ac:dyDescent="0.3">
      <c r="A24" s="50">
        <v>22</v>
      </c>
      <c r="B24" s="51" t="s">
        <v>121</v>
      </c>
      <c r="C24" s="51" t="s">
        <v>157</v>
      </c>
      <c r="D24" s="50">
        <v>8</v>
      </c>
      <c r="E24" s="52">
        <v>4</v>
      </c>
      <c r="F24" s="45">
        <v>950</v>
      </c>
      <c r="G24" s="53">
        <v>3.694</v>
      </c>
      <c r="H24" s="45">
        <v>4534</v>
      </c>
      <c r="I24" s="45">
        <v>3504</v>
      </c>
      <c r="J24" s="50">
        <v>1</v>
      </c>
      <c r="K24" s="50">
        <v>1</v>
      </c>
      <c r="L24" s="53">
        <v>1.5529999999999999</v>
      </c>
      <c r="M24" s="45">
        <v>2649</v>
      </c>
      <c r="N24" s="45">
        <v>5244</v>
      </c>
      <c r="O24" s="45">
        <v>0</v>
      </c>
      <c r="P24" s="45">
        <v>-1010</v>
      </c>
      <c r="Q24" s="45">
        <v>0</v>
      </c>
      <c r="R24" s="45">
        <v>0</v>
      </c>
      <c r="S24" s="45">
        <v>300</v>
      </c>
      <c r="T24" s="45">
        <v>0</v>
      </c>
      <c r="U24" s="50">
        <v>0</v>
      </c>
    </row>
    <row r="25" spans="1:21" x14ac:dyDescent="0.3">
      <c r="A25" s="50">
        <v>23</v>
      </c>
      <c r="B25" s="51" t="s">
        <v>124</v>
      </c>
      <c r="C25" s="51" t="s">
        <v>157</v>
      </c>
      <c r="D25" s="50">
        <v>19</v>
      </c>
      <c r="E25" s="52">
        <v>44</v>
      </c>
      <c r="F25" s="45">
        <v>107.143</v>
      </c>
      <c r="G25" s="53">
        <v>4.0039999999999996</v>
      </c>
      <c r="H25" s="45">
        <v>13145</v>
      </c>
      <c r="I25" s="45">
        <v>8322</v>
      </c>
      <c r="J25" s="50">
        <v>1</v>
      </c>
      <c r="K25" s="50">
        <v>1</v>
      </c>
      <c r="L25" s="53">
        <v>1.895</v>
      </c>
      <c r="M25" s="45">
        <v>9239</v>
      </c>
      <c r="N25" s="45">
        <v>14180</v>
      </c>
      <c r="O25" s="45">
        <v>305</v>
      </c>
      <c r="P25" s="45">
        <v>-1140</v>
      </c>
      <c r="Q25" s="45">
        <v>-200</v>
      </c>
      <c r="R25" s="45">
        <v>0</v>
      </c>
      <c r="S25" s="45">
        <v>0</v>
      </c>
      <c r="T25" s="45">
        <v>0</v>
      </c>
      <c r="U25" s="50">
        <v>0</v>
      </c>
    </row>
    <row r="26" spans="1:21" x14ac:dyDescent="0.3">
      <c r="A26" s="50">
        <v>24</v>
      </c>
      <c r="B26" s="51" t="s">
        <v>124</v>
      </c>
      <c r="C26" s="51" t="s">
        <v>157</v>
      </c>
      <c r="D26" s="50">
        <v>16</v>
      </c>
      <c r="E26" s="52">
        <v>3</v>
      </c>
      <c r="F26" s="45">
        <v>900</v>
      </c>
      <c r="G26" s="53">
        <v>4</v>
      </c>
      <c r="H26" s="45">
        <v>210</v>
      </c>
      <c r="I26" s="45">
        <v>7008</v>
      </c>
      <c r="J26" s="50">
        <v>0</v>
      </c>
      <c r="K26" s="50">
        <v>0</v>
      </c>
      <c r="L26" s="53">
        <v>3.5999999999999997E-2</v>
      </c>
      <c r="M26" s="45">
        <v>-1340</v>
      </c>
      <c r="N26" s="45">
        <v>1190</v>
      </c>
      <c r="O26" s="45">
        <v>0</v>
      </c>
      <c r="P26" s="45">
        <v>-630</v>
      </c>
      <c r="Q26" s="45">
        <v>-350</v>
      </c>
      <c r="R26" s="45">
        <v>0</v>
      </c>
      <c r="S26" s="45">
        <v>0</v>
      </c>
      <c r="T26" s="45">
        <v>0</v>
      </c>
      <c r="U26" s="50">
        <v>0</v>
      </c>
    </row>
    <row r="27" spans="1:21" x14ac:dyDescent="0.3">
      <c r="A27" s="50">
        <v>25</v>
      </c>
      <c r="B27" s="51" t="s">
        <v>124</v>
      </c>
      <c r="C27" s="51" t="s">
        <v>158</v>
      </c>
      <c r="D27" s="50">
        <v>7</v>
      </c>
      <c r="E27" s="52">
        <v>5</v>
      </c>
      <c r="F27" s="45">
        <v>360</v>
      </c>
      <c r="G27" s="53">
        <v>4</v>
      </c>
      <c r="H27" s="45">
        <v>6315</v>
      </c>
      <c r="I27" s="45">
        <v>3066</v>
      </c>
      <c r="J27" s="50">
        <v>1</v>
      </c>
      <c r="K27" s="50">
        <v>1</v>
      </c>
      <c r="L27" s="53">
        <v>2.472</v>
      </c>
      <c r="M27" s="45">
        <v>5323</v>
      </c>
      <c r="N27" s="45">
        <v>6050</v>
      </c>
      <c r="O27" s="45">
        <v>0</v>
      </c>
      <c r="P27" s="45">
        <v>285</v>
      </c>
      <c r="Q27" s="45">
        <v>-20</v>
      </c>
      <c r="R27" s="45">
        <v>0</v>
      </c>
      <c r="S27" s="45">
        <v>0</v>
      </c>
      <c r="T27" s="45">
        <v>0</v>
      </c>
      <c r="U27" s="50">
        <v>0</v>
      </c>
    </row>
    <row r="28" spans="1:21" x14ac:dyDescent="0.3">
      <c r="A28" s="50">
        <v>26</v>
      </c>
      <c r="B28" s="51" t="s">
        <v>124</v>
      </c>
      <c r="C28" s="51" t="s">
        <v>157</v>
      </c>
      <c r="D28" s="50">
        <v>12</v>
      </c>
      <c r="E28" s="52">
        <v>6</v>
      </c>
      <c r="F28" s="45">
        <v>441.66699999999997</v>
      </c>
      <c r="G28" s="53">
        <v>3.4969999999999999</v>
      </c>
      <c r="H28" s="45">
        <v>4249</v>
      </c>
      <c r="I28" s="45">
        <v>5256</v>
      </c>
      <c r="J28" s="50">
        <v>1</v>
      </c>
      <c r="K28" s="50">
        <v>0</v>
      </c>
      <c r="L28" s="53">
        <v>0.97</v>
      </c>
      <c r="M28" s="45">
        <v>2924</v>
      </c>
      <c r="N28" s="45">
        <v>5930</v>
      </c>
      <c r="O28" s="45">
        <v>0</v>
      </c>
      <c r="P28" s="45">
        <v>-1540</v>
      </c>
      <c r="Q28" s="45">
        <v>-200</v>
      </c>
      <c r="R28" s="45">
        <v>59</v>
      </c>
      <c r="S28" s="45">
        <v>0</v>
      </c>
      <c r="T28" s="45">
        <v>0</v>
      </c>
      <c r="U28" s="50">
        <v>0</v>
      </c>
    </row>
    <row r="29" spans="1:21" x14ac:dyDescent="0.3">
      <c r="A29" s="50">
        <v>27</v>
      </c>
      <c r="B29" s="51" t="s">
        <v>124</v>
      </c>
      <c r="C29" s="51" t="s">
        <v>157</v>
      </c>
      <c r="D29" s="50">
        <v>9</v>
      </c>
      <c r="E29" s="52">
        <v>2</v>
      </c>
      <c r="F29" s="45">
        <v>600</v>
      </c>
      <c r="G29" s="53">
        <v>4</v>
      </c>
      <c r="H29" s="45">
        <v>3060</v>
      </c>
      <c r="I29" s="45">
        <v>3942</v>
      </c>
      <c r="J29" s="50">
        <v>1</v>
      </c>
      <c r="K29" s="50">
        <v>0</v>
      </c>
      <c r="L29" s="53">
        <v>0.93200000000000005</v>
      </c>
      <c r="M29" s="45">
        <v>1950</v>
      </c>
      <c r="N29" s="45">
        <v>3250</v>
      </c>
      <c r="O29" s="45">
        <v>0</v>
      </c>
      <c r="P29" s="45">
        <v>0</v>
      </c>
      <c r="Q29" s="45">
        <v>-190</v>
      </c>
      <c r="R29" s="45">
        <v>0</v>
      </c>
      <c r="S29" s="45">
        <v>0</v>
      </c>
      <c r="T29" s="45">
        <v>0</v>
      </c>
      <c r="U29" s="50">
        <v>0</v>
      </c>
    </row>
    <row r="30" spans="1:21" x14ac:dyDescent="0.3">
      <c r="A30" s="50">
        <v>28</v>
      </c>
      <c r="B30" s="51" t="s">
        <v>124</v>
      </c>
      <c r="C30" s="51" t="s">
        <v>157</v>
      </c>
      <c r="D30" s="50">
        <v>13</v>
      </c>
      <c r="E30" s="52">
        <v>4</v>
      </c>
      <c r="F30" s="45">
        <v>600</v>
      </c>
      <c r="G30" s="53">
        <v>4</v>
      </c>
      <c r="H30" s="45">
        <v>1381</v>
      </c>
      <c r="I30" s="45">
        <v>5694</v>
      </c>
      <c r="J30" s="50">
        <v>0</v>
      </c>
      <c r="K30" s="50">
        <v>0</v>
      </c>
      <c r="L30" s="53">
        <v>0.29099999999999998</v>
      </c>
      <c r="M30" s="45">
        <v>221</v>
      </c>
      <c r="N30" s="45">
        <v>2610</v>
      </c>
      <c r="O30" s="45">
        <v>0</v>
      </c>
      <c r="P30" s="45">
        <v>-580</v>
      </c>
      <c r="Q30" s="45">
        <v>-649</v>
      </c>
      <c r="R30" s="45">
        <v>0</v>
      </c>
      <c r="S30" s="45">
        <v>0</v>
      </c>
      <c r="T30" s="45">
        <v>0</v>
      </c>
      <c r="U30" s="50">
        <v>0</v>
      </c>
    </row>
    <row r="31" spans="1:21" x14ac:dyDescent="0.3">
      <c r="A31" s="50">
        <v>29</v>
      </c>
      <c r="B31" s="51" t="s">
        <v>124</v>
      </c>
      <c r="C31" s="51" t="s">
        <v>157</v>
      </c>
      <c r="D31" s="50">
        <v>15</v>
      </c>
      <c r="E31" s="52">
        <v>7</v>
      </c>
      <c r="F31" s="45">
        <v>600</v>
      </c>
      <c r="G31" s="53">
        <v>4</v>
      </c>
      <c r="H31" s="45">
        <v>10180</v>
      </c>
      <c r="I31" s="45">
        <v>6570</v>
      </c>
      <c r="J31" s="50">
        <v>1</v>
      </c>
      <c r="K31" s="50">
        <v>1</v>
      </c>
      <c r="L31" s="53">
        <v>1.859</v>
      </c>
      <c r="M31" s="45">
        <v>8335</v>
      </c>
      <c r="N31" s="45">
        <v>11640</v>
      </c>
      <c r="O31" s="45">
        <v>0</v>
      </c>
      <c r="P31" s="45">
        <v>-1360</v>
      </c>
      <c r="Q31" s="45">
        <v>-100</v>
      </c>
      <c r="R31" s="45">
        <v>0</v>
      </c>
      <c r="S31" s="45">
        <v>0</v>
      </c>
      <c r="T31" s="45">
        <v>0</v>
      </c>
      <c r="U31" s="50">
        <v>0</v>
      </c>
    </row>
    <row r="32" spans="1:21" x14ac:dyDescent="0.3">
      <c r="A32" s="50">
        <v>30</v>
      </c>
      <c r="B32" s="51" t="s">
        <v>124</v>
      </c>
      <c r="C32" s="51" t="s">
        <v>157</v>
      </c>
      <c r="D32" s="50">
        <v>10</v>
      </c>
      <c r="E32" s="52">
        <v>2.5</v>
      </c>
      <c r="F32" s="45">
        <v>750</v>
      </c>
      <c r="G32" s="53">
        <v>4</v>
      </c>
      <c r="H32" s="45">
        <v>110</v>
      </c>
      <c r="I32" s="45">
        <v>4380</v>
      </c>
      <c r="J32" s="50">
        <v>0</v>
      </c>
      <c r="K32" s="50">
        <v>0</v>
      </c>
      <c r="L32" s="53">
        <v>0.03</v>
      </c>
      <c r="M32" s="45">
        <v>-1100</v>
      </c>
      <c r="N32" s="45">
        <v>770</v>
      </c>
      <c r="O32" s="45">
        <v>0</v>
      </c>
      <c r="P32" s="45">
        <v>-560</v>
      </c>
      <c r="Q32" s="45">
        <v>-100</v>
      </c>
      <c r="R32" s="45">
        <v>0</v>
      </c>
      <c r="S32" s="45">
        <v>0</v>
      </c>
      <c r="T32" s="45">
        <v>0</v>
      </c>
      <c r="U32" s="50">
        <v>0</v>
      </c>
    </row>
    <row r="33" spans="1:21" x14ac:dyDescent="0.3">
      <c r="A33" s="50">
        <v>31</v>
      </c>
      <c r="B33" s="51" t="s">
        <v>124</v>
      </c>
      <c r="C33" s="51" t="s">
        <v>157</v>
      </c>
      <c r="D33" s="50">
        <v>14</v>
      </c>
      <c r="E33" s="52">
        <v>9</v>
      </c>
      <c r="F33" s="45">
        <v>500</v>
      </c>
      <c r="G33" s="53">
        <v>4</v>
      </c>
      <c r="H33" s="45">
        <v>15260</v>
      </c>
      <c r="I33" s="45">
        <v>6132</v>
      </c>
      <c r="J33" s="50">
        <v>1</v>
      </c>
      <c r="K33" s="50">
        <v>1</v>
      </c>
      <c r="L33" s="53">
        <v>2.9860000000000002</v>
      </c>
      <c r="M33" s="45">
        <v>14180</v>
      </c>
      <c r="N33" s="45">
        <v>15460</v>
      </c>
      <c r="O33" s="45">
        <v>0</v>
      </c>
      <c r="P33" s="45">
        <v>-100</v>
      </c>
      <c r="Q33" s="45">
        <v>-100</v>
      </c>
      <c r="R33" s="45">
        <v>0</v>
      </c>
      <c r="S33" s="45">
        <v>0</v>
      </c>
      <c r="T33" s="45">
        <v>0</v>
      </c>
      <c r="U33" s="50">
        <v>1</v>
      </c>
    </row>
    <row r="34" spans="1:21" x14ac:dyDescent="0.3">
      <c r="A34" s="50">
        <v>32</v>
      </c>
      <c r="B34" s="51" t="s">
        <v>124</v>
      </c>
      <c r="C34" s="51" t="s">
        <v>157</v>
      </c>
      <c r="D34" s="50">
        <v>12</v>
      </c>
      <c r="E34" s="52">
        <v>6</v>
      </c>
      <c r="F34" s="45">
        <v>562.5</v>
      </c>
      <c r="G34" s="53">
        <v>4</v>
      </c>
      <c r="H34" s="45">
        <v>5600</v>
      </c>
      <c r="I34" s="45">
        <v>5256</v>
      </c>
      <c r="J34" s="50">
        <v>1</v>
      </c>
      <c r="K34" s="50">
        <v>1</v>
      </c>
      <c r="L34" s="53">
        <v>1.2789999999999999</v>
      </c>
      <c r="M34" s="45">
        <v>15</v>
      </c>
      <c r="N34" s="45">
        <v>6880</v>
      </c>
      <c r="O34" s="45">
        <v>0</v>
      </c>
      <c r="P34" s="45">
        <v>-1030</v>
      </c>
      <c r="Q34" s="45">
        <v>-250</v>
      </c>
      <c r="R34" s="45">
        <v>0</v>
      </c>
      <c r="S34" s="45">
        <v>0</v>
      </c>
      <c r="T34" s="45">
        <v>0</v>
      </c>
      <c r="U34" s="50">
        <v>0</v>
      </c>
    </row>
    <row r="35" spans="1:21" x14ac:dyDescent="0.3">
      <c r="A35" s="50">
        <v>33</v>
      </c>
      <c r="B35" s="51" t="s">
        <v>124</v>
      </c>
      <c r="C35" s="51" t="s">
        <v>157</v>
      </c>
      <c r="D35" s="50">
        <v>12</v>
      </c>
      <c r="E35" s="52">
        <v>8</v>
      </c>
      <c r="F35" s="45">
        <v>375</v>
      </c>
      <c r="G35" s="53">
        <v>4.0129999999999999</v>
      </c>
      <c r="H35" s="45">
        <v>8370</v>
      </c>
      <c r="I35" s="45">
        <v>5256</v>
      </c>
      <c r="J35" s="50">
        <v>1</v>
      </c>
      <c r="K35" s="50">
        <v>1</v>
      </c>
      <c r="L35" s="53">
        <v>1.911</v>
      </c>
      <c r="M35" s="45">
        <v>6860</v>
      </c>
      <c r="N35" s="45">
        <v>9600</v>
      </c>
      <c r="O35" s="45">
        <v>0</v>
      </c>
      <c r="P35" s="45">
        <v>-1080</v>
      </c>
      <c r="Q35" s="45">
        <v>-150</v>
      </c>
      <c r="R35" s="45">
        <v>0</v>
      </c>
      <c r="S35" s="45">
        <v>0</v>
      </c>
      <c r="T35" s="45">
        <v>0</v>
      </c>
      <c r="U35" s="50">
        <v>0</v>
      </c>
    </row>
    <row r="36" spans="1:21" x14ac:dyDescent="0.3">
      <c r="A36" s="50">
        <v>34</v>
      </c>
      <c r="B36" s="51" t="s">
        <v>124</v>
      </c>
      <c r="C36" s="51" t="s">
        <v>157</v>
      </c>
      <c r="D36" s="50">
        <v>15</v>
      </c>
      <c r="E36" s="52">
        <v>44</v>
      </c>
      <c r="F36" s="45">
        <v>340.90899999999999</v>
      </c>
      <c r="G36" s="53">
        <v>4.0129999999999999</v>
      </c>
      <c r="H36" s="45">
        <v>59705</v>
      </c>
      <c r="I36" s="45">
        <v>6570</v>
      </c>
      <c r="J36" s="50">
        <v>1</v>
      </c>
      <c r="K36" s="50">
        <v>1</v>
      </c>
      <c r="L36" s="53">
        <v>10.904999999999999</v>
      </c>
      <c r="M36" s="45">
        <v>57225</v>
      </c>
      <c r="N36" s="45">
        <v>57395</v>
      </c>
      <c r="O36" s="45">
        <v>0</v>
      </c>
      <c r="P36" s="45">
        <v>10</v>
      </c>
      <c r="Q36" s="45">
        <v>-200</v>
      </c>
      <c r="R36" s="45">
        <v>0</v>
      </c>
      <c r="S36" s="45">
        <v>2500</v>
      </c>
      <c r="T36" s="45">
        <v>0</v>
      </c>
      <c r="U36" s="50">
        <v>1</v>
      </c>
    </row>
    <row r="37" spans="1:21" x14ac:dyDescent="0.3">
      <c r="A37" s="50">
        <v>35</v>
      </c>
      <c r="B37" s="51" t="s">
        <v>124</v>
      </c>
      <c r="C37" s="51" t="s">
        <v>157</v>
      </c>
      <c r="D37" s="50">
        <v>15</v>
      </c>
      <c r="E37" s="52">
        <v>2.5</v>
      </c>
      <c r="F37" s="45">
        <v>300</v>
      </c>
      <c r="G37" s="53">
        <v>4.0270000000000001</v>
      </c>
      <c r="H37" s="45">
        <v>5210</v>
      </c>
      <c r="I37" s="45">
        <v>6570</v>
      </c>
      <c r="J37" s="50">
        <v>1</v>
      </c>
      <c r="K37" s="50">
        <v>0</v>
      </c>
      <c r="L37" s="53">
        <v>0.95199999999999996</v>
      </c>
      <c r="M37" s="45">
        <v>1990</v>
      </c>
      <c r="N37" s="45">
        <v>795</v>
      </c>
      <c r="O37" s="45">
        <v>0</v>
      </c>
      <c r="P37" s="45">
        <v>-735</v>
      </c>
      <c r="Q37" s="45">
        <v>-100</v>
      </c>
      <c r="R37" s="45">
        <v>0</v>
      </c>
      <c r="S37" s="45">
        <v>5250</v>
      </c>
      <c r="T37" s="45">
        <v>0</v>
      </c>
      <c r="U37" s="50">
        <v>0</v>
      </c>
    </row>
    <row r="38" spans="1:21" x14ac:dyDescent="0.3">
      <c r="A38" s="50">
        <v>36</v>
      </c>
      <c r="B38" s="51" t="s">
        <v>124</v>
      </c>
      <c r="C38" s="51" t="s">
        <v>157</v>
      </c>
      <c r="D38" s="50">
        <v>11</v>
      </c>
      <c r="E38" s="52">
        <v>2</v>
      </c>
      <c r="F38" s="45">
        <v>450</v>
      </c>
      <c r="G38" s="53">
        <v>4.0220000000000002</v>
      </c>
      <c r="H38" s="45">
        <v>1790</v>
      </c>
      <c r="I38" s="45">
        <v>4818</v>
      </c>
      <c r="J38" s="50">
        <v>0</v>
      </c>
      <c r="K38" s="50">
        <v>0</v>
      </c>
      <c r="L38" s="53">
        <v>0.44600000000000001</v>
      </c>
      <c r="M38" s="45">
        <v>710</v>
      </c>
      <c r="N38" s="45">
        <v>1440</v>
      </c>
      <c r="O38" s="45">
        <v>0</v>
      </c>
      <c r="P38" s="45">
        <v>-1120</v>
      </c>
      <c r="Q38" s="45">
        <v>-30</v>
      </c>
      <c r="R38" s="45">
        <v>0</v>
      </c>
      <c r="S38" s="45">
        <v>1500</v>
      </c>
      <c r="T38" s="45">
        <v>0</v>
      </c>
      <c r="U38" s="50">
        <v>0</v>
      </c>
    </row>
    <row r="39" spans="1:21" x14ac:dyDescent="0.3">
      <c r="A39" s="50">
        <v>37</v>
      </c>
      <c r="B39" s="51" t="s">
        <v>124</v>
      </c>
      <c r="C39" s="51" t="s">
        <v>157</v>
      </c>
      <c r="D39" s="50">
        <v>10</v>
      </c>
      <c r="E39" s="52">
        <v>3</v>
      </c>
      <c r="F39" s="45">
        <v>350</v>
      </c>
      <c r="G39" s="53">
        <v>9.4380000000000006</v>
      </c>
      <c r="H39" s="45">
        <v>1515</v>
      </c>
      <c r="I39" s="45">
        <v>4380</v>
      </c>
      <c r="J39" s="50">
        <v>0</v>
      </c>
      <c r="K39" s="50">
        <v>0</v>
      </c>
      <c r="L39" s="53">
        <v>0.41499999999999998</v>
      </c>
      <c r="M39" s="45">
        <v>165</v>
      </c>
      <c r="N39" s="45">
        <v>2675</v>
      </c>
      <c r="O39" s="45">
        <v>0</v>
      </c>
      <c r="P39" s="45">
        <v>-1010</v>
      </c>
      <c r="Q39" s="45">
        <v>-150</v>
      </c>
      <c r="R39" s="45">
        <v>0</v>
      </c>
      <c r="S39" s="45">
        <v>0</v>
      </c>
      <c r="T39" s="45">
        <v>0</v>
      </c>
      <c r="U39" s="50">
        <v>1</v>
      </c>
    </row>
    <row r="40" spans="1:21" x14ac:dyDescent="0.3">
      <c r="A40" s="50">
        <v>38</v>
      </c>
      <c r="B40" s="51" t="s">
        <v>124</v>
      </c>
      <c r="C40" s="51" t="s">
        <v>157</v>
      </c>
      <c r="D40" s="50">
        <v>12</v>
      </c>
      <c r="E40" s="52">
        <v>1</v>
      </c>
      <c r="F40" s="45">
        <v>900</v>
      </c>
      <c r="G40" s="53">
        <v>4.0220000000000002</v>
      </c>
      <c r="H40" s="45">
        <v>1875</v>
      </c>
      <c r="I40" s="45">
        <v>5256</v>
      </c>
      <c r="J40" s="50">
        <v>0</v>
      </c>
      <c r="K40" s="50">
        <v>0</v>
      </c>
      <c r="L40" s="53">
        <v>0.42799999999999999</v>
      </c>
      <c r="M40" s="45">
        <v>535</v>
      </c>
      <c r="N40" s="45">
        <v>1770</v>
      </c>
      <c r="O40" s="45">
        <v>0</v>
      </c>
      <c r="P40" s="45">
        <v>-695</v>
      </c>
      <c r="Q40" s="45">
        <v>800</v>
      </c>
      <c r="R40" s="45">
        <v>0</v>
      </c>
      <c r="S40" s="45">
        <v>0</v>
      </c>
      <c r="T40" s="45">
        <v>0</v>
      </c>
      <c r="U40" s="50">
        <v>0</v>
      </c>
    </row>
    <row r="41" spans="1:21" x14ac:dyDescent="0.3">
      <c r="A41" s="50">
        <v>39</v>
      </c>
      <c r="B41" s="51" t="s">
        <v>124</v>
      </c>
      <c r="C41" s="51" t="s">
        <v>157</v>
      </c>
      <c r="D41" s="50">
        <v>10</v>
      </c>
      <c r="E41" s="52">
        <v>1</v>
      </c>
      <c r="F41" s="45">
        <v>750</v>
      </c>
      <c r="G41" s="53">
        <v>4.0270000000000001</v>
      </c>
      <c r="H41" s="45">
        <v>5170</v>
      </c>
      <c r="I41" s="45">
        <v>4380</v>
      </c>
      <c r="J41" s="50">
        <v>1</v>
      </c>
      <c r="K41" s="50">
        <v>1</v>
      </c>
      <c r="L41" s="53">
        <v>1.4159999999999999</v>
      </c>
      <c r="M41" s="45">
        <v>4440</v>
      </c>
      <c r="N41" s="45">
        <v>965</v>
      </c>
      <c r="O41" s="45">
        <v>0</v>
      </c>
      <c r="P41" s="45">
        <v>-695</v>
      </c>
      <c r="Q41" s="45">
        <v>-100</v>
      </c>
      <c r="R41" s="45">
        <v>0</v>
      </c>
      <c r="S41" s="45">
        <v>2500</v>
      </c>
      <c r="T41" s="45">
        <v>2500</v>
      </c>
      <c r="U41" s="50">
        <v>0</v>
      </c>
    </row>
    <row r="42" spans="1:21" x14ac:dyDescent="0.3">
      <c r="A42" s="50">
        <v>40</v>
      </c>
      <c r="B42" s="51" t="s">
        <v>124</v>
      </c>
      <c r="C42" s="51" t="s">
        <v>157</v>
      </c>
      <c r="D42" s="50">
        <v>12</v>
      </c>
      <c r="E42" s="52">
        <v>4</v>
      </c>
      <c r="F42" s="45">
        <v>400</v>
      </c>
      <c r="G42" s="53">
        <v>3.4409999999999998</v>
      </c>
      <c r="H42" s="45">
        <v>2020</v>
      </c>
      <c r="I42" s="45">
        <v>5256</v>
      </c>
      <c r="J42" s="50">
        <v>0</v>
      </c>
      <c r="K42" s="50">
        <v>0</v>
      </c>
      <c r="L42" s="53">
        <v>0.46100000000000002</v>
      </c>
      <c r="M42" s="45">
        <v>425</v>
      </c>
      <c r="N42" s="45">
        <v>2740</v>
      </c>
      <c r="O42" s="45">
        <v>0</v>
      </c>
      <c r="P42" s="45">
        <v>-750</v>
      </c>
      <c r="Q42" s="45">
        <v>-50</v>
      </c>
      <c r="R42" s="45">
        <v>80</v>
      </c>
      <c r="S42" s="45">
        <v>0</v>
      </c>
      <c r="T42" s="45">
        <v>0</v>
      </c>
      <c r="U42" s="50">
        <v>0</v>
      </c>
    </row>
    <row r="43" spans="1:21" x14ac:dyDescent="0.3">
      <c r="A43" s="50">
        <v>41</v>
      </c>
      <c r="B43" s="51" t="s">
        <v>124</v>
      </c>
      <c r="C43" s="51" t="s">
        <v>157</v>
      </c>
      <c r="D43" s="50">
        <v>10</v>
      </c>
      <c r="E43" s="52">
        <v>5</v>
      </c>
      <c r="F43" s="45">
        <v>210</v>
      </c>
      <c r="G43" s="53">
        <v>1.871</v>
      </c>
      <c r="H43" s="45">
        <v>2540</v>
      </c>
      <c r="I43" s="45">
        <v>4380</v>
      </c>
      <c r="J43" s="50">
        <v>0</v>
      </c>
      <c r="K43" s="50">
        <v>0</v>
      </c>
      <c r="L43" s="53">
        <v>0.69599999999999995</v>
      </c>
      <c r="M43" s="45">
        <v>1190</v>
      </c>
      <c r="N43" s="45">
        <v>2390</v>
      </c>
      <c r="O43" s="45">
        <v>0</v>
      </c>
      <c r="P43" s="45">
        <v>-295</v>
      </c>
      <c r="Q43" s="45">
        <v>-65</v>
      </c>
      <c r="R43" s="45">
        <v>510</v>
      </c>
      <c r="S43" s="45">
        <v>0</v>
      </c>
      <c r="T43" s="45">
        <v>0</v>
      </c>
      <c r="U43" s="50">
        <v>0</v>
      </c>
    </row>
    <row r="44" spans="1:21" x14ac:dyDescent="0.3">
      <c r="A44" s="50">
        <v>42</v>
      </c>
      <c r="B44" s="51" t="s">
        <v>124</v>
      </c>
      <c r="C44" s="51" t="s">
        <v>157</v>
      </c>
      <c r="D44" s="50">
        <v>12</v>
      </c>
      <c r="E44" s="52">
        <v>5</v>
      </c>
      <c r="F44" s="45">
        <v>300</v>
      </c>
      <c r="G44" s="53">
        <v>4.0129999999999999</v>
      </c>
      <c r="H44" s="45">
        <v>3790</v>
      </c>
      <c r="I44" s="45">
        <v>5256</v>
      </c>
      <c r="J44" s="50">
        <v>1</v>
      </c>
      <c r="K44" s="50">
        <v>0</v>
      </c>
      <c r="L44" s="53">
        <v>0.86499999999999999</v>
      </c>
      <c r="M44" s="45">
        <v>2075</v>
      </c>
      <c r="N44" s="45">
        <v>4240</v>
      </c>
      <c r="O44" s="45">
        <v>0</v>
      </c>
      <c r="P44" s="45">
        <v>-810</v>
      </c>
      <c r="Q44" s="45">
        <v>-50</v>
      </c>
      <c r="R44" s="45">
        <v>410</v>
      </c>
      <c r="S44" s="45">
        <v>0</v>
      </c>
      <c r="T44" s="45">
        <v>0</v>
      </c>
      <c r="U44" s="50">
        <v>0</v>
      </c>
    </row>
    <row r="45" spans="1:21" x14ac:dyDescent="0.3">
      <c r="A45" s="50">
        <v>43</v>
      </c>
      <c r="B45" s="51" t="s">
        <v>124</v>
      </c>
      <c r="C45" s="51" t="s">
        <v>157</v>
      </c>
      <c r="D45" s="50">
        <v>9</v>
      </c>
      <c r="E45" s="52">
        <v>3</v>
      </c>
      <c r="F45" s="45">
        <v>400</v>
      </c>
      <c r="G45" s="53">
        <v>4.0170000000000003</v>
      </c>
      <c r="H45" s="45">
        <v>2190</v>
      </c>
      <c r="I45" s="45">
        <v>3942</v>
      </c>
      <c r="J45" s="50">
        <v>0</v>
      </c>
      <c r="K45" s="50">
        <v>0</v>
      </c>
      <c r="L45" s="53">
        <v>0.66700000000000004</v>
      </c>
      <c r="M45" s="45">
        <v>620</v>
      </c>
      <c r="N45" s="45">
        <v>2740</v>
      </c>
      <c r="O45" s="45">
        <v>0</v>
      </c>
      <c r="P45" s="45">
        <v>-550</v>
      </c>
      <c r="Q45" s="45">
        <v>0</v>
      </c>
      <c r="R45" s="45">
        <v>0</v>
      </c>
      <c r="S45" s="45">
        <v>0</v>
      </c>
      <c r="T45" s="45">
        <v>0</v>
      </c>
      <c r="U45" s="50">
        <v>0</v>
      </c>
    </row>
    <row r="46" spans="1:21" x14ac:dyDescent="0.3">
      <c r="A46" s="50">
        <v>44</v>
      </c>
      <c r="B46" s="51" t="s">
        <v>124</v>
      </c>
      <c r="C46" s="51" t="s">
        <v>157</v>
      </c>
      <c r="D46" s="50">
        <v>9</v>
      </c>
      <c r="E46" s="52">
        <v>1.5</v>
      </c>
      <c r="F46" s="45">
        <v>200</v>
      </c>
      <c r="G46" s="53">
        <v>4.0679999999999996</v>
      </c>
      <c r="H46" s="45">
        <v>116</v>
      </c>
      <c r="I46" s="45">
        <v>3942</v>
      </c>
      <c r="J46" s="50">
        <v>0</v>
      </c>
      <c r="K46" s="50">
        <v>0</v>
      </c>
      <c r="L46" s="53">
        <v>3.5000000000000003E-2</v>
      </c>
      <c r="M46" s="45">
        <v>-1004</v>
      </c>
      <c r="N46" s="45">
        <v>95</v>
      </c>
      <c r="O46" s="45">
        <v>0</v>
      </c>
      <c r="P46" s="45">
        <v>-615</v>
      </c>
      <c r="Q46" s="45">
        <v>-50</v>
      </c>
      <c r="R46" s="45">
        <v>686</v>
      </c>
      <c r="S46" s="45">
        <v>0</v>
      </c>
      <c r="T46" s="45">
        <v>0</v>
      </c>
      <c r="U46" s="50">
        <v>0</v>
      </c>
    </row>
    <row r="47" spans="1:21" x14ac:dyDescent="0.3">
      <c r="A47" s="50">
        <v>45</v>
      </c>
      <c r="B47" s="51" t="s">
        <v>124</v>
      </c>
      <c r="C47" s="51" t="s">
        <v>157</v>
      </c>
      <c r="D47" s="50">
        <v>10</v>
      </c>
      <c r="E47" s="52">
        <v>2</v>
      </c>
      <c r="F47" s="45">
        <v>450</v>
      </c>
      <c r="G47" s="53">
        <v>4.0220000000000002</v>
      </c>
      <c r="H47" s="45">
        <v>2000</v>
      </c>
      <c r="I47" s="45">
        <v>4380</v>
      </c>
      <c r="J47" s="50">
        <v>0</v>
      </c>
      <c r="K47" s="50">
        <v>0</v>
      </c>
      <c r="L47" s="53">
        <v>0.54800000000000004</v>
      </c>
      <c r="M47" s="45">
        <v>450</v>
      </c>
      <c r="N47" s="45">
        <v>1825</v>
      </c>
      <c r="O47" s="45">
        <v>0</v>
      </c>
      <c r="P47" s="45">
        <v>-335</v>
      </c>
      <c r="Q47" s="45">
        <v>-100</v>
      </c>
      <c r="R47" s="45">
        <v>610</v>
      </c>
      <c r="S47" s="45">
        <v>0</v>
      </c>
      <c r="T47" s="45">
        <v>0</v>
      </c>
      <c r="U47" s="50">
        <v>0</v>
      </c>
    </row>
    <row r="48" spans="1:21" x14ac:dyDescent="0.3">
      <c r="A48" s="50">
        <v>46</v>
      </c>
      <c r="B48" s="51" t="s">
        <v>122</v>
      </c>
      <c r="C48" s="51" t="s">
        <v>157</v>
      </c>
      <c r="D48" s="50">
        <v>16</v>
      </c>
      <c r="E48" s="52">
        <v>3</v>
      </c>
      <c r="F48" s="45">
        <v>600</v>
      </c>
      <c r="G48" s="53">
        <v>3.9</v>
      </c>
      <c r="H48" s="45">
        <v>6146</v>
      </c>
      <c r="I48" s="45">
        <v>7008</v>
      </c>
      <c r="J48" s="50">
        <v>1</v>
      </c>
      <c r="K48" s="50">
        <v>0</v>
      </c>
      <c r="L48" s="53">
        <v>1.052</v>
      </c>
      <c r="M48" s="45">
        <v>4926</v>
      </c>
      <c r="N48" s="45">
        <v>4280</v>
      </c>
      <c r="O48" s="45">
        <v>0</v>
      </c>
      <c r="P48" s="45">
        <v>1385</v>
      </c>
      <c r="Q48" s="45">
        <v>480</v>
      </c>
      <c r="R48" s="45">
        <v>0</v>
      </c>
      <c r="S48" s="45">
        <v>0</v>
      </c>
      <c r="T48" s="45">
        <v>1</v>
      </c>
      <c r="U48" s="50">
        <v>0</v>
      </c>
    </row>
    <row r="49" spans="1:21" x14ac:dyDescent="0.3">
      <c r="A49" s="50">
        <v>47</v>
      </c>
      <c r="B49" s="51" t="s">
        <v>122</v>
      </c>
      <c r="C49" s="51" t="s">
        <v>157</v>
      </c>
      <c r="D49" s="50">
        <v>11</v>
      </c>
      <c r="E49" s="52">
        <v>3</v>
      </c>
      <c r="F49" s="45">
        <v>550</v>
      </c>
      <c r="G49" s="53">
        <v>5.0730000000000004</v>
      </c>
      <c r="H49" s="45">
        <v>3036</v>
      </c>
      <c r="I49" s="45">
        <v>4818</v>
      </c>
      <c r="J49" s="50">
        <v>1</v>
      </c>
      <c r="K49" s="50">
        <v>0</v>
      </c>
      <c r="L49" s="53">
        <v>0.75600000000000001</v>
      </c>
      <c r="M49" s="45">
        <v>976</v>
      </c>
      <c r="N49" s="45">
        <v>2640</v>
      </c>
      <c r="O49" s="45">
        <v>0</v>
      </c>
      <c r="P49" s="45">
        <v>445</v>
      </c>
      <c r="Q49" s="45">
        <v>-50</v>
      </c>
      <c r="R49" s="45">
        <v>0</v>
      </c>
      <c r="S49" s="45">
        <v>0</v>
      </c>
      <c r="T49" s="45">
        <v>1</v>
      </c>
      <c r="U49" s="50">
        <v>0</v>
      </c>
    </row>
    <row r="50" spans="1:21" x14ac:dyDescent="0.3">
      <c r="A50" s="50">
        <v>48</v>
      </c>
      <c r="B50" s="51" t="s">
        <v>122</v>
      </c>
      <c r="C50" s="51" t="s">
        <v>157</v>
      </c>
      <c r="D50" s="50">
        <v>12</v>
      </c>
      <c r="E50" s="52">
        <v>2</v>
      </c>
      <c r="F50" s="45">
        <v>311</v>
      </c>
      <c r="G50" s="53">
        <v>3.528</v>
      </c>
      <c r="H50" s="45">
        <v>2479.4</v>
      </c>
      <c r="I50" s="45">
        <v>5256</v>
      </c>
      <c r="J50" s="50">
        <v>0</v>
      </c>
      <c r="K50" s="50">
        <v>0</v>
      </c>
      <c r="L50" s="53">
        <v>0.56599999999999995</v>
      </c>
      <c r="M50" s="45">
        <v>799.4</v>
      </c>
      <c r="N50" s="45">
        <v>2004.4</v>
      </c>
      <c r="O50" s="45">
        <v>0</v>
      </c>
      <c r="P50" s="45">
        <v>460</v>
      </c>
      <c r="Q50" s="45">
        <v>15</v>
      </c>
      <c r="R50" s="45">
        <v>0</v>
      </c>
      <c r="S50" s="45">
        <v>0</v>
      </c>
      <c r="T50" s="45">
        <v>0</v>
      </c>
      <c r="U50" s="50">
        <v>0</v>
      </c>
    </row>
    <row r="51" spans="1:21" x14ac:dyDescent="0.3">
      <c r="A51" s="50">
        <v>49</v>
      </c>
      <c r="B51" s="51" t="s">
        <v>122</v>
      </c>
      <c r="C51" s="51" t="s">
        <v>158</v>
      </c>
      <c r="D51" s="50">
        <v>10</v>
      </c>
      <c r="E51" s="52">
        <v>2</v>
      </c>
      <c r="F51" s="45">
        <v>350</v>
      </c>
      <c r="G51" s="53">
        <v>2.6</v>
      </c>
      <c r="H51" s="45">
        <v>965</v>
      </c>
      <c r="I51" s="45">
        <v>4380</v>
      </c>
      <c r="J51" s="50">
        <v>0</v>
      </c>
      <c r="K51" s="50">
        <v>0</v>
      </c>
      <c r="L51" s="53">
        <v>0.26400000000000001</v>
      </c>
      <c r="M51" s="45">
        <v>-785</v>
      </c>
      <c r="N51" s="45">
        <v>530</v>
      </c>
      <c r="O51" s="45">
        <v>0</v>
      </c>
      <c r="P51" s="45">
        <v>455</v>
      </c>
      <c r="Q51" s="45">
        <v>-20</v>
      </c>
      <c r="R51" s="45">
        <v>0</v>
      </c>
      <c r="S51" s="45">
        <v>0</v>
      </c>
      <c r="T51" s="45">
        <v>0</v>
      </c>
      <c r="U51" s="50">
        <v>0</v>
      </c>
    </row>
    <row r="52" spans="1:21" x14ac:dyDescent="0.3">
      <c r="A52" s="50">
        <v>50</v>
      </c>
      <c r="B52" s="51" t="s">
        <v>122</v>
      </c>
      <c r="C52" s="51" t="s">
        <v>157</v>
      </c>
      <c r="D52" s="50">
        <v>4</v>
      </c>
      <c r="E52" s="52">
        <v>3</v>
      </c>
      <c r="F52" s="45">
        <v>650</v>
      </c>
      <c r="G52" s="53">
        <v>3.76</v>
      </c>
      <c r="H52" s="45">
        <v>2299</v>
      </c>
      <c r="I52" s="45">
        <v>1752</v>
      </c>
      <c r="J52" s="50">
        <v>0</v>
      </c>
      <c r="K52" s="50">
        <v>1</v>
      </c>
      <c r="L52" s="53">
        <v>1.575</v>
      </c>
      <c r="M52" s="45">
        <v>1727</v>
      </c>
      <c r="N52" s="45">
        <v>2259</v>
      </c>
      <c r="O52" s="45">
        <v>0</v>
      </c>
      <c r="P52" s="45">
        <v>145</v>
      </c>
      <c r="Q52" s="45">
        <v>-10</v>
      </c>
      <c r="R52" s="45">
        <v>-95</v>
      </c>
      <c r="S52" s="45">
        <v>0</v>
      </c>
      <c r="T52" s="45">
        <v>0</v>
      </c>
      <c r="U52" s="50">
        <v>0</v>
      </c>
    </row>
    <row r="53" spans="1:21" x14ac:dyDescent="0.3">
      <c r="A53" s="50">
        <v>51</v>
      </c>
      <c r="B53" s="51" t="s">
        <v>122</v>
      </c>
      <c r="C53" s="51" t="s">
        <v>157</v>
      </c>
      <c r="D53" s="50">
        <v>9</v>
      </c>
      <c r="E53" s="52">
        <v>3</v>
      </c>
      <c r="F53" s="45">
        <v>566.66700000000003</v>
      </c>
      <c r="G53" s="53">
        <v>3.0590000000000002</v>
      </c>
      <c r="H53" s="45">
        <v>2730</v>
      </c>
      <c r="I53" s="45">
        <v>3942</v>
      </c>
      <c r="J53" s="50">
        <v>1</v>
      </c>
      <c r="K53" s="50">
        <v>0</v>
      </c>
      <c r="L53" s="53">
        <v>0.83099999999999996</v>
      </c>
      <c r="M53" s="45">
        <v>1270</v>
      </c>
      <c r="N53" s="45">
        <v>2260</v>
      </c>
      <c r="O53" s="45">
        <v>0</v>
      </c>
      <c r="P53" s="45">
        <v>490</v>
      </c>
      <c r="Q53" s="45">
        <v>4</v>
      </c>
      <c r="R53" s="45">
        <v>-24</v>
      </c>
      <c r="S53" s="45">
        <v>0</v>
      </c>
      <c r="T53" s="45">
        <v>0</v>
      </c>
      <c r="U53" s="50">
        <v>0</v>
      </c>
    </row>
    <row r="54" spans="1:21" x14ac:dyDescent="0.3">
      <c r="A54" s="50">
        <v>52</v>
      </c>
      <c r="B54" s="51" t="s">
        <v>122</v>
      </c>
      <c r="C54" s="51" t="s">
        <v>157</v>
      </c>
      <c r="D54" s="50">
        <v>12</v>
      </c>
      <c r="E54" s="52">
        <v>3</v>
      </c>
      <c r="F54" s="45">
        <v>1400</v>
      </c>
      <c r="G54" s="53">
        <v>2.8860000000000001</v>
      </c>
      <c r="H54" s="45">
        <v>5281</v>
      </c>
      <c r="I54" s="45">
        <v>5256</v>
      </c>
      <c r="J54" s="50">
        <v>1</v>
      </c>
      <c r="K54" s="50">
        <v>1</v>
      </c>
      <c r="L54" s="53">
        <v>1.206</v>
      </c>
      <c r="M54" s="45">
        <v>1711</v>
      </c>
      <c r="N54" s="45">
        <v>3401</v>
      </c>
      <c r="O54" s="45">
        <v>0</v>
      </c>
      <c r="P54" s="45">
        <v>1380</v>
      </c>
      <c r="Q54" s="45">
        <v>0</v>
      </c>
      <c r="R54" s="45">
        <v>0</v>
      </c>
      <c r="S54" s="45">
        <v>500</v>
      </c>
      <c r="T54" s="45">
        <v>0</v>
      </c>
      <c r="U54" s="50">
        <v>0</v>
      </c>
    </row>
    <row r="55" spans="1:21" x14ac:dyDescent="0.3">
      <c r="A55" s="50">
        <v>53</v>
      </c>
      <c r="B55" s="51" t="s">
        <v>122</v>
      </c>
      <c r="C55" s="51" t="s">
        <v>157</v>
      </c>
      <c r="D55" s="50">
        <v>12</v>
      </c>
      <c r="E55" s="52">
        <v>3.125</v>
      </c>
      <c r="F55" s="45">
        <v>750</v>
      </c>
      <c r="G55" s="53">
        <v>3.4670000000000001</v>
      </c>
      <c r="H55" s="45">
        <v>2464</v>
      </c>
      <c r="I55" s="45">
        <v>5256</v>
      </c>
      <c r="J55" s="50">
        <v>0</v>
      </c>
      <c r="K55" s="50">
        <v>0</v>
      </c>
      <c r="L55" s="53">
        <v>0.56299999999999994</v>
      </c>
      <c r="M55" s="45">
        <v>784</v>
      </c>
      <c r="N55" s="45">
        <v>2240</v>
      </c>
      <c r="O55" s="45">
        <v>0</v>
      </c>
      <c r="P55" s="45">
        <v>275</v>
      </c>
      <c r="Q55" s="45">
        <v>-30</v>
      </c>
      <c r="R55" s="45">
        <v>-22</v>
      </c>
      <c r="S55" s="45">
        <v>0</v>
      </c>
      <c r="T55" s="45">
        <v>1</v>
      </c>
      <c r="U55" s="50">
        <v>0</v>
      </c>
    </row>
    <row r="56" spans="1:21" x14ac:dyDescent="0.3">
      <c r="A56" s="50">
        <v>54</v>
      </c>
      <c r="B56" s="51" t="s">
        <v>122</v>
      </c>
      <c r="C56" s="51" t="s">
        <v>157</v>
      </c>
      <c r="D56" s="50">
        <v>19</v>
      </c>
      <c r="E56" s="52">
        <v>3</v>
      </c>
      <c r="F56" s="45">
        <v>233.333</v>
      </c>
      <c r="G56" s="53">
        <v>1.25</v>
      </c>
      <c r="H56" s="45">
        <v>2585</v>
      </c>
      <c r="I56" s="45">
        <v>8322</v>
      </c>
      <c r="J56" s="50">
        <v>0</v>
      </c>
      <c r="K56" s="50">
        <v>0</v>
      </c>
      <c r="L56" s="53">
        <v>0.373</v>
      </c>
      <c r="M56" s="45">
        <v>-1045</v>
      </c>
      <c r="N56" s="45">
        <v>1165</v>
      </c>
      <c r="O56" s="45">
        <v>0</v>
      </c>
      <c r="P56" s="45">
        <v>270</v>
      </c>
      <c r="Q56" s="45">
        <v>-50</v>
      </c>
      <c r="R56" s="45">
        <v>0</v>
      </c>
      <c r="S56" s="45">
        <v>1200</v>
      </c>
      <c r="T56" s="45">
        <v>0</v>
      </c>
      <c r="U56" s="50">
        <v>0</v>
      </c>
    </row>
    <row r="57" spans="1:21" x14ac:dyDescent="0.3">
      <c r="A57" s="50">
        <v>55</v>
      </c>
      <c r="B57" s="51" t="s">
        <v>122</v>
      </c>
      <c r="C57" s="51" t="s">
        <v>157</v>
      </c>
      <c r="D57" s="50">
        <v>11</v>
      </c>
      <c r="E57" s="52">
        <v>6</v>
      </c>
      <c r="F57" s="45">
        <v>733.33299999999997</v>
      </c>
      <c r="G57" s="53">
        <v>4.3730000000000002</v>
      </c>
      <c r="H57" s="45">
        <v>9010</v>
      </c>
      <c r="I57" s="45">
        <v>4818</v>
      </c>
      <c r="J57" s="50">
        <v>1</v>
      </c>
      <c r="K57" s="50">
        <v>1</v>
      </c>
      <c r="L57" s="53">
        <v>2.2440000000000002</v>
      </c>
      <c r="M57" s="45">
        <v>5800</v>
      </c>
      <c r="N57" s="45">
        <v>7670</v>
      </c>
      <c r="O57" s="45">
        <v>0</v>
      </c>
      <c r="P57" s="45">
        <v>1380</v>
      </c>
      <c r="Q57" s="45">
        <v>-40</v>
      </c>
      <c r="R57" s="45">
        <v>0</v>
      </c>
      <c r="S57" s="45">
        <v>0</v>
      </c>
      <c r="T57" s="45">
        <v>0</v>
      </c>
      <c r="U57" s="50">
        <v>0</v>
      </c>
    </row>
    <row r="58" spans="1:21" x14ac:dyDescent="0.3">
      <c r="A58" s="50">
        <v>56</v>
      </c>
      <c r="B58" s="51" t="s">
        <v>122</v>
      </c>
      <c r="C58" s="51" t="s">
        <v>157</v>
      </c>
      <c r="D58" s="50">
        <v>4</v>
      </c>
      <c r="E58" s="52">
        <v>3</v>
      </c>
      <c r="F58" s="45">
        <v>300</v>
      </c>
      <c r="G58" s="53">
        <v>1.889</v>
      </c>
      <c r="H58" s="45">
        <v>4060</v>
      </c>
      <c r="I58" s="45">
        <v>1752</v>
      </c>
      <c r="J58" s="50">
        <v>1</v>
      </c>
      <c r="K58" s="50">
        <v>1</v>
      </c>
      <c r="L58" s="53">
        <v>2.7810000000000001</v>
      </c>
      <c r="M58" s="45">
        <v>1590</v>
      </c>
      <c r="N58" s="45">
        <v>4060</v>
      </c>
      <c r="O58" s="45">
        <v>0</v>
      </c>
      <c r="P58" s="45">
        <v>0</v>
      </c>
      <c r="Q58" s="45">
        <v>0</v>
      </c>
      <c r="R58" s="45">
        <v>0</v>
      </c>
      <c r="S58" s="45">
        <v>0</v>
      </c>
      <c r="T58" s="45">
        <v>0</v>
      </c>
      <c r="U58" s="50">
        <v>0</v>
      </c>
    </row>
    <row r="59" spans="1:21" x14ac:dyDescent="0.3">
      <c r="A59" s="50">
        <v>57</v>
      </c>
      <c r="B59" s="51" t="s">
        <v>122</v>
      </c>
      <c r="C59" s="51" t="s">
        <v>158</v>
      </c>
      <c r="D59" s="50">
        <v>10</v>
      </c>
      <c r="E59" s="52">
        <v>4</v>
      </c>
      <c r="F59" s="45">
        <v>190</v>
      </c>
      <c r="G59" s="53">
        <v>4.516</v>
      </c>
      <c r="H59" s="45">
        <v>1301</v>
      </c>
      <c r="I59" s="45">
        <v>4380</v>
      </c>
      <c r="J59" s="50">
        <v>0</v>
      </c>
      <c r="K59" s="50">
        <v>0</v>
      </c>
      <c r="L59" s="53">
        <v>0.35599999999999998</v>
      </c>
      <c r="M59" s="45">
        <v>-9</v>
      </c>
      <c r="N59" s="45">
        <v>1241</v>
      </c>
      <c r="O59" s="45">
        <v>0</v>
      </c>
      <c r="P59" s="45">
        <v>0</v>
      </c>
      <c r="Q59" s="45">
        <v>60</v>
      </c>
      <c r="R59" s="45">
        <v>0</v>
      </c>
      <c r="S59" s="45">
        <v>0</v>
      </c>
      <c r="T59" s="45">
        <v>0</v>
      </c>
      <c r="U59" s="50">
        <v>0</v>
      </c>
    </row>
    <row r="60" spans="1:21" x14ac:dyDescent="0.3">
      <c r="A60" s="50">
        <v>58</v>
      </c>
      <c r="B60" s="51" t="s">
        <v>122</v>
      </c>
      <c r="C60" s="51" t="s">
        <v>157</v>
      </c>
      <c r="D60" s="50">
        <v>5</v>
      </c>
      <c r="E60" s="52">
        <v>5</v>
      </c>
      <c r="F60" s="45">
        <v>400</v>
      </c>
      <c r="G60" s="53">
        <v>4.3330000000000002</v>
      </c>
      <c r="H60" s="45">
        <v>5660</v>
      </c>
      <c r="I60" s="45">
        <v>2190</v>
      </c>
      <c r="J60" s="50">
        <v>1</v>
      </c>
      <c r="K60" s="50">
        <v>1</v>
      </c>
      <c r="L60" s="53">
        <v>3.101</v>
      </c>
      <c r="M60" s="45">
        <v>2920</v>
      </c>
      <c r="N60" s="45">
        <v>4840</v>
      </c>
      <c r="O60" s="45">
        <v>0</v>
      </c>
      <c r="P60" s="45">
        <v>820</v>
      </c>
      <c r="Q60" s="45">
        <v>-50</v>
      </c>
      <c r="R60" s="45">
        <v>0</v>
      </c>
      <c r="S60" s="45">
        <v>50</v>
      </c>
      <c r="T60" s="45">
        <v>0</v>
      </c>
      <c r="U60" s="50">
        <v>0</v>
      </c>
    </row>
    <row r="61" spans="1:21" x14ac:dyDescent="0.3">
      <c r="A61" s="50">
        <v>59</v>
      </c>
      <c r="B61" s="51" t="s">
        <v>122</v>
      </c>
      <c r="C61" s="51" t="s">
        <v>157</v>
      </c>
      <c r="D61" s="50">
        <v>33</v>
      </c>
      <c r="E61" s="52">
        <v>5</v>
      </c>
      <c r="F61" s="45">
        <v>420</v>
      </c>
      <c r="G61" s="53">
        <v>4.0650000000000004</v>
      </c>
      <c r="H61" s="45">
        <v>9326</v>
      </c>
      <c r="I61" s="45">
        <v>14454</v>
      </c>
      <c r="J61" s="50">
        <v>1</v>
      </c>
      <c r="K61" s="50">
        <v>0</v>
      </c>
      <c r="L61" s="53">
        <v>0.77400000000000002</v>
      </c>
      <c r="M61" s="45">
        <v>7961</v>
      </c>
      <c r="N61" s="45">
        <v>7506</v>
      </c>
      <c r="O61" s="45">
        <v>0</v>
      </c>
      <c r="P61" s="45">
        <v>1520</v>
      </c>
      <c r="Q61" s="45">
        <v>0</v>
      </c>
      <c r="R61" s="45">
        <v>0</v>
      </c>
      <c r="S61" s="45">
        <v>300</v>
      </c>
      <c r="T61" s="45">
        <v>0</v>
      </c>
      <c r="U61" s="50">
        <v>0</v>
      </c>
    </row>
    <row r="62" spans="1:21" x14ac:dyDescent="0.3">
      <c r="A62" s="50">
        <v>60</v>
      </c>
      <c r="B62" s="51" t="s">
        <v>122</v>
      </c>
      <c r="C62" s="51" t="s">
        <v>157</v>
      </c>
      <c r="D62" s="50">
        <v>10</v>
      </c>
      <c r="E62" s="52">
        <v>3</v>
      </c>
      <c r="F62" s="45">
        <v>360</v>
      </c>
      <c r="G62" s="53">
        <v>4.4059999999999997</v>
      </c>
      <c r="H62" s="45">
        <v>5033</v>
      </c>
      <c r="I62" s="45">
        <v>4380</v>
      </c>
      <c r="J62" s="50">
        <v>1</v>
      </c>
      <c r="K62" s="50">
        <v>1</v>
      </c>
      <c r="L62" s="53">
        <v>1.379</v>
      </c>
      <c r="M62" s="45">
        <v>3653</v>
      </c>
      <c r="N62" s="45">
        <v>2782</v>
      </c>
      <c r="O62" s="45">
        <v>0</v>
      </c>
      <c r="P62" s="45">
        <v>2220</v>
      </c>
      <c r="Q62" s="45">
        <v>30</v>
      </c>
      <c r="R62" s="45">
        <v>0</v>
      </c>
      <c r="S62" s="45">
        <v>0</v>
      </c>
      <c r="T62" s="45">
        <v>1</v>
      </c>
      <c r="U62" s="50">
        <v>0</v>
      </c>
    </row>
    <row r="63" spans="1:21" x14ac:dyDescent="0.3">
      <c r="A63" s="50">
        <v>61</v>
      </c>
      <c r="B63" s="51" t="s">
        <v>122</v>
      </c>
      <c r="C63" s="51" t="s">
        <v>157</v>
      </c>
      <c r="D63" s="50">
        <v>23</v>
      </c>
      <c r="E63" s="52">
        <v>3</v>
      </c>
      <c r="F63" s="45">
        <v>680</v>
      </c>
      <c r="G63" s="53">
        <v>4.1289999999999996</v>
      </c>
      <c r="H63" s="45">
        <v>7545</v>
      </c>
      <c r="I63" s="45">
        <v>10074</v>
      </c>
      <c r="J63" s="50">
        <v>1</v>
      </c>
      <c r="K63" s="50">
        <v>0</v>
      </c>
      <c r="L63" s="53">
        <v>0.89900000000000002</v>
      </c>
      <c r="M63" s="45">
        <v>3025</v>
      </c>
      <c r="N63" s="45">
        <v>6170</v>
      </c>
      <c r="O63" s="45">
        <v>0</v>
      </c>
      <c r="P63" s="45">
        <v>1275</v>
      </c>
      <c r="Q63" s="45">
        <v>0</v>
      </c>
      <c r="R63" s="45">
        <v>0</v>
      </c>
      <c r="S63" s="45">
        <v>100</v>
      </c>
      <c r="T63" s="45">
        <v>0</v>
      </c>
      <c r="U63" s="50">
        <v>0</v>
      </c>
    </row>
    <row r="64" spans="1:21" x14ac:dyDescent="0.3">
      <c r="A64" s="50">
        <v>62</v>
      </c>
      <c r="B64" s="51" t="s">
        <v>122</v>
      </c>
      <c r="C64" s="51" t="s">
        <v>157</v>
      </c>
      <c r="D64" s="50">
        <v>17</v>
      </c>
      <c r="E64" s="52">
        <v>3</v>
      </c>
      <c r="F64" s="45">
        <v>260</v>
      </c>
      <c r="G64" s="53">
        <v>4</v>
      </c>
      <c r="H64" s="45">
        <v>3140</v>
      </c>
      <c r="I64" s="45">
        <v>7446</v>
      </c>
      <c r="J64" s="50">
        <v>1</v>
      </c>
      <c r="K64" s="50">
        <v>0</v>
      </c>
      <c r="L64" s="53">
        <v>0.50600000000000001</v>
      </c>
      <c r="M64" s="45">
        <v>1894</v>
      </c>
      <c r="N64" s="45">
        <v>2330</v>
      </c>
      <c r="O64" s="45">
        <v>0</v>
      </c>
      <c r="P64" s="45">
        <v>860</v>
      </c>
      <c r="Q64" s="45">
        <v>-50</v>
      </c>
      <c r="R64" s="45">
        <v>0</v>
      </c>
      <c r="S64" s="45">
        <v>0</v>
      </c>
      <c r="T64" s="45">
        <v>0</v>
      </c>
      <c r="U64" s="50">
        <v>0</v>
      </c>
    </row>
    <row r="65" spans="1:21" x14ac:dyDescent="0.3">
      <c r="A65" s="50">
        <v>63</v>
      </c>
      <c r="B65" s="51" t="s">
        <v>122</v>
      </c>
      <c r="C65" s="51" t="s">
        <v>157</v>
      </c>
      <c r="D65" s="50">
        <v>9</v>
      </c>
      <c r="E65" s="52">
        <v>1.5</v>
      </c>
      <c r="F65" s="45">
        <v>450</v>
      </c>
      <c r="G65" s="53">
        <v>4.6219999999999999</v>
      </c>
      <c r="H65" s="45">
        <v>2686.5</v>
      </c>
      <c r="I65" s="45">
        <v>3942</v>
      </c>
      <c r="J65" s="50">
        <v>1</v>
      </c>
      <c r="K65" s="50">
        <v>0</v>
      </c>
      <c r="L65" s="53">
        <v>0.81799999999999995</v>
      </c>
      <c r="M65" s="45">
        <v>1470.5</v>
      </c>
      <c r="N65" s="45">
        <v>1960.5</v>
      </c>
      <c r="O65" s="45">
        <v>0</v>
      </c>
      <c r="P65" s="45">
        <v>-105</v>
      </c>
      <c r="Q65" s="45">
        <v>-20</v>
      </c>
      <c r="R65" s="45">
        <v>0</v>
      </c>
      <c r="S65" s="45">
        <v>850</v>
      </c>
      <c r="T65" s="45">
        <v>1</v>
      </c>
      <c r="U65" s="50">
        <v>0</v>
      </c>
    </row>
    <row r="66" spans="1:21" x14ac:dyDescent="0.3">
      <c r="A66" s="50">
        <v>64</v>
      </c>
      <c r="B66" s="51" t="s">
        <v>122</v>
      </c>
      <c r="C66" s="51" t="s">
        <v>157</v>
      </c>
      <c r="D66" s="50">
        <v>8</v>
      </c>
      <c r="E66" s="52">
        <v>3</v>
      </c>
      <c r="F66" s="45">
        <v>450</v>
      </c>
      <c r="G66" s="53">
        <v>4.4489999999999998</v>
      </c>
      <c r="H66" s="45">
        <v>2132</v>
      </c>
      <c r="I66" s="45">
        <v>3504</v>
      </c>
      <c r="J66" s="50">
        <v>0</v>
      </c>
      <c r="K66" s="50">
        <v>0</v>
      </c>
      <c r="L66" s="53">
        <v>0.73</v>
      </c>
      <c r="M66" s="45">
        <v>-148</v>
      </c>
      <c r="N66" s="45">
        <v>1717</v>
      </c>
      <c r="O66" s="45">
        <v>0</v>
      </c>
      <c r="P66" s="45">
        <v>435</v>
      </c>
      <c r="Q66" s="45">
        <v>-20</v>
      </c>
      <c r="R66" s="45">
        <v>0</v>
      </c>
      <c r="S66" s="45">
        <v>0</v>
      </c>
      <c r="T66" s="45">
        <v>0</v>
      </c>
      <c r="U66" s="50">
        <v>0</v>
      </c>
    </row>
    <row r="67" spans="1:21" x14ac:dyDescent="0.3">
      <c r="A67" s="50">
        <v>65</v>
      </c>
      <c r="B67" s="51" t="s">
        <v>122</v>
      </c>
      <c r="C67" s="51" t="s">
        <v>157</v>
      </c>
      <c r="D67" s="50">
        <v>13</v>
      </c>
      <c r="E67" s="52">
        <v>3</v>
      </c>
      <c r="F67" s="45">
        <v>168</v>
      </c>
      <c r="G67" s="53">
        <v>4.16</v>
      </c>
      <c r="H67" s="45">
        <v>2522</v>
      </c>
      <c r="I67" s="45">
        <v>5694</v>
      </c>
      <c r="J67" s="50">
        <v>0</v>
      </c>
      <c r="K67" s="50">
        <v>0</v>
      </c>
      <c r="L67" s="53">
        <v>0.53200000000000003</v>
      </c>
      <c r="M67" s="45">
        <v>992</v>
      </c>
      <c r="N67" s="45">
        <v>1387</v>
      </c>
      <c r="O67" s="45">
        <v>0</v>
      </c>
      <c r="P67" s="45">
        <v>1135</v>
      </c>
      <c r="Q67" s="45">
        <v>0</v>
      </c>
      <c r="R67" s="45">
        <v>0</v>
      </c>
      <c r="S67" s="45">
        <v>0</v>
      </c>
      <c r="T67" s="45">
        <v>0</v>
      </c>
      <c r="U67" s="50">
        <v>0</v>
      </c>
    </row>
    <row r="68" spans="1:21" x14ac:dyDescent="0.3">
      <c r="A68" s="50">
        <v>66</v>
      </c>
      <c r="B68" s="51" t="s">
        <v>122</v>
      </c>
      <c r="C68" s="51" t="s">
        <v>157</v>
      </c>
      <c r="D68" s="50">
        <v>17</v>
      </c>
      <c r="E68" s="52">
        <v>4.5</v>
      </c>
      <c r="F68" s="45">
        <v>600</v>
      </c>
      <c r="G68" s="53">
        <v>3.714</v>
      </c>
      <c r="H68" s="45">
        <v>6811</v>
      </c>
      <c r="I68" s="45">
        <v>7446</v>
      </c>
      <c r="J68" s="50">
        <v>1</v>
      </c>
      <c r="K68" s="50">
        <v>0</v>
      </c>
      <c r="L68" s="53">
        <v>1.0980000000000001</v>
      </c>
      <c r="M68" s="45">
        <v>5011</v>
      </c>
      <c r="N68" s="45">
        <v>6320</v>
      </c>
      <c r="O68" s="45">
        <v>0</v>
      </c>
      <c r="P68" s="45">
        <v>140</v>
      </c>
      <c r="Q68" s="45">
        <v>-50</v>
      </c>
      <c r="R68" s="45">
        <v>0</v>
      </c>
      <c r="S68" s="45">
        <v>400</v>
      </c>
      <c r="T68" s="45">
        <v>1</v>
      </c>
      <c r="U68" s="50">
        <v>0</v>
      </c>
    </row>
    <row r="69" spans="1:21" x14ac:dyDescent="0.3">
      <c r="A69" s="50">
        <v>67</v>
      </c>
      <c r="B69" s="51" t="s">
        <v>122</v>
      </c>
      <c r="C69" s="51" t="s">
        <v>157</v>
      </c>
      <c r="D69" s="50">
        <v>13</v>
      </c>
      <c r="E69" s="52">
        <v>3</v>
      </c>
      <c r="F69" s="45">
        <v>350</v>
      </c>
      <c r="G69" s="53">
        <v>4.4569999999999999</v>
      </c>
      <c r="H69" s="45">
        <v>1325</v>
      </c>
      <c r="I69" s="45">
        <v>5694</v>
      </c>
      <c r="J69" s="50">
        <v>0</v>
      </c>
      <c r="K69" s="50">
        <v>0</v>
      </c>
      <c r="L69" s="53">
        <v>0.27900000000000003</v>
      </c>
      <c r="M69" s="45">
        <v>-775</v>
      </c>
      <c r="N69" s="45">
        <v>1275</v>
      </c>
      <c r="O69" s="45">
        <v>0</v>
      </c>
      <c r="P69" s="45">
        <v>0</v>
      </c>
      <c r="Q69" s="45">
        <v>50</v>
      </c>
      <c r="R69" s="45">
        <v>0</v>
      </c>
      <c r="S69" s="45">
        <v>0</v>
      </c>
      <c r="T69" s="45">
        <v>0</v>
      </c>
      <c r="U69" s="50">
        <v>0</v>
      </c>
    </row>
    <row r="70" spans="1:21" x14ac:dyDescent="0.3">
      <c r="A70" s="50">
        <v>68</v>
      </c>
      <c r="B70" s="51" t="s">
        <v>123</v>
      </c>
      <c r="C70" s="51" t="s">
        <v>157</v>
      </c>
      <c r="D70" s="50">
        <v>4</v>
      </c>
      <c r="E70" s="52">
        <v>4</v>
      </c>
      <c r="F70" s="45">
        <v>900</v>
      </c>
      <c r="G70" s="53">
        <v>2.0569999999999999</v>
      </c>
      <c r="H70" s="45">
        <v>1466</v>
      </c>
      <c r="I70" s="45">
        <v>1752</v>
      </c>
      <c r="J70" s="50">
        <v>0</v>
      </c>
      <c r="K70" s="50">
        <v>0</v>
      </c>
      <c r="L70" s="53">
        <v>1.004</v>
      </c>
      <c r="M70" s="45">
        <v>-959</v>
      </c>
      <c r="N70" s="45">
        <v>1500</v>
      </c>
      <c r="O70" s="45">
        <v>0</v>
      </c>
      <c r="P70" s="45">
        <v>0</v>
      </c>
      <c r="Q70" s="45">
        <v>-34</v>
      </c>
      <c r="R70" s="45">
        <v>0</v>
      </c>
      <c r="S70" s="45">
        <v>0</v>
      </c>
      <c r="T70" s="45">
        <v>0</v>
      </c>
      <c r="U70" s="50">
        <v>0</v>
      </c>
    </row>
    <row r="71" spans="1:21" x14ac:dyDescent="0.3">
      <c r="A71" s="50">
        <v>69</v>
      </c>
      <c r="B71" s="51" t="s">
        <v>123</v>
      </c>
      <c r="C71" s="51" t="s">
        <v>157</v>
      </c>
      <c r="D71" s="50">
        <v>4</v>
      </c>
      <c r="E71" s="52">
        <v>6</v>
      </c>
      <c r="F71" s="45">
        <v>600</v>
      </c>
      <c r="G71" s="53">
        <v>1.2629999999999999</v>
      </c>
      <c r="H71" s="45">
        <v>2130</v>
      </c>
      <c r="I71" s="45">
        <v>1752</v>
      </c>
      <c r="J71" s="50">
        <v>0</v>
      </c>
      <c r="K71" s="50">
        <v>1</v>
      </c>
      <c r="L71" s="53">
        <v>1.4590000000000001</v>
      </c>
      <c r="M71" s="45">
        <v>900</v>
      </c>
      <c r="N71" s="45">
        <v>2130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50">
        <v>0</v>
      </c>
    </row>
    <row r="72" spans="1:21" x14ac:dyDescent="0.3">
      <c r="A72" s="50">
        <v>70</v>
      </c>
      <c r="B72" s="51" t="s">
        <v>123</v>
      </c>
      <c r="C72" s="51" t="s">
        <v>157</v>
      </c>
      <c r="D72" s="50">
        <v>8</v>
      </c>
      <c r="E72" s="52">
        <v>7</v>
      </c>
      <c r="F72" s="45">
        <v>760</v>
      </c>
      <c r="G72" s="53">
        <v>1.478</v>
      </c>
      <c r="H72" s="45">
        <v>5320</v>
      </c>
      <c r="I72" s="45">
        <v>3504</v>
      </c>
      <c r="J72" s="50">
        <v>1</v>
      </c>
      <c r="K72" s="50">
        <v>1</v>
      </c>
      <c r="L72" s="53">
        <v>1.8220000000000001</v>
      </c>
      <c r="M72" s="45">
        <v>3181</v>
      </c>
      <c r="N72" s="45">
        <v>5220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100</v>
      </c>
      <c r="U72" s="50">
        <v>0</v>
      </c>
    </row>
    <row r="73" spans="1:21" x14ac:dyDescent="0.3">
      <c r="A73" s="50">
        <v>71</v>
      </c>
      <c r="B73" s="51" t="s">
        <v>123</v>
      </c>
      <c r="C73" s="51" t="s">
        <v>157</v>
      </c>
      <c r="D73" s="50">
        <v>10</v>
      </c>
      <c r="E73" s="52">
        <v>1</v>
      </c>
      <c r="F73" s="45">
        <v>800</v>
      </c>
      <c r="G73" s="53">
        <v>1.333</v>
      </c>
      <c r="H73" s="45">
        <v>17996</v>
      </c>
      <c r="I73" s="45">
        <v>4380</v>
      </c>
      <c r="J73" s="50">
        <v>1</v>
      </c>
      <c r="K73" s="50">
        <v>1</v>
      </c>
      <c r="L73" s="53">
        <v>4.93</v>
      </c>
      <c r="M73" s="45">
        <v>14406</v>
      </c>
      <c r="N73" s="45">
        <v>-465</v>
      </c>
      <c r="O73" s="45">
        <v>0</v>
      </c>
      <c r="P73" s="45">
        <v>19311</v>
      </c>
      <c r="Q73" s="45">
        <v>-900</v>
      </c>
      <c r="R73" s="45">
        <v>0</v>
      </c>
      <c r="S73" s="45">
        <v>0</v>
      </c>
      <c r="T73" s="45">
        <v>50</v>
      </c>
      <c r="U73" s="50">
        <v>1</v>
      </c>
    </row>
    <row r="74" spans="1:21" x14ac:dyDescent="0.3">
      <c r="A74" s="50">
        <v>72</v>
      </c>
      <c r="B74" s="51" t="s">
        <v>123</v>
      </c>
      <c r="C74" s="51" t="s">
        <v>157</v>
      </c>
      <c r="D74" s="50">
        <v>11</v>
      </c>
      <c r="E74" s="52">
        <v>3</v>
      </c>
      <c r="F74" s="45">
        <v>600</v>
      </c>
      <c r="G74" s="53">
        <v>2</v>
      </c>
      <c r="H74" s="45">
        <v>2300</v>
      </c>
      <c r="I74" s="45">
        <v>4818</v>
      </c>
      <c r="J74" s="50">
        <v>0</v>
      </c>
      <c r="K74" s="50">
        <v>0</v>
      </c>
      <c r="L74" s="53">
        <v>0.57299999999999995</v>
      </c>
      <c r="M74" s="45">
        <v>-141</v>
      </c>
      <c r="N74" s="45">
        <v>770</v>
      </c>
      <c r="O74" s="45">
        <v>1010</v>
      </c>
      <c r="P74" s="45">
        <v>120</v>
      </c>
      <c r="Q74" s="45">
        <v>400</v>
      </c>
      <c r="R74" s="45">
        <v>0</v>
      </c>
      <c r="S74" s="45">
        <v>0</v>
      </c>
      <c r="T74" s="45">
        <v>0</v>
      </c>
      <c r="U74" s="50">
        <v>0</v>
      </c>
    </row>
    <row r="75" spans="1:21" x14ac:dyDescent="0.3">
      <c r="A75" s="50">
        <v>73</v>
      </c>
      <c r="B75" s="51" t="s">
        <v>123</v>
      </c>
      <c r="C75" s="51" t="s">
        <v>157</v>
      </c>
      <c r="D75" s="50">
        <v>8</v>
      </c>
      <c r="E75" s="52">
        <v>6</v>
      </c>
      <c r="F75" s="45">
        <v>600</v>
      </c>
      <c r="G75" s="53">
        <v>3.371</v>
      </c>
      <c r="H75" s="45">
        <v>4445</v>
      </c>
      <c r="I75" s="45">
        <v>3504</v>
      </c>
      <c r="J75" s="50">
        <v>1</v>
      </c>
      <c r="K75" s="50">
        <v>1</v>
      </c>
      <c r="L75" s="53">
        <v>1.522</v>
      </c>
      <c r="M75" s="45">
        <v>618.20000000000005</v>
      </c>
      <c r="N75" s="45">
        <v>4445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50">
        <v>0</v>
      </c>
    </row>
    <row r="76" spans="1:21" x14ac:dyDescent="0.3">
      <c r="A76" s="50">
        <v>74</v>
      </c>
      <c r="B76" s="51" t="s">
        <v>123</v>
      </c>
      <c r="C76" s="51" t="s">
        <v>157</v>
      </c>
      <c r="D76" s="50">
        <v>11</v>
      </c>
      <c r="E76" s="52">
        <v>4</v>
      </c>
      <c r="F76" s="45">
        <v>875</v>
      </c>
      <c r="G76" s="53">
        <v>2.8570000000000002</v>
      </c>
      <c r="H76" s="45">
        <v>10866</v>
      </c>
      <c r="I76" s="45">
        <v>4818</v>
      </c>
      <c r="J76" s="50">
        <v>1</v>
      </c>
      <c r="K76" s="50">
        <v>1</v>
      </c>
      <c r="L76" s="53">
        <v>2.706</v>
      </c>
      <c r="M76" s="45">
        <v>6327</v>
      </c>
      <c r="N76" s="45">
        <v>9711</v>
      </c>
      <c r="O76" s="45">
        <v>0</v>
      </c>
      <c r="P76" s="45">
        <v>135</v>
      </c>
      <c r="Q76" s="45">
        <v>0</v>
      </c>
      <c r="R76" s="45">
        <v>0</v>
      </c>
      <c r="S76" s="45">
        <v>1000</v>
      </c>
      <c r="T76" s="45">
        <v>20</v>
      </c>
      <c r="U76" s="50">
        <v>0</v>
      </c>
    </row>
    <row r="77" spans="1:21" x14ac:dyDescent="0.3">
      <c r="A77" s="50">
        <v>75</v>
      </c>
      <c r="B77" s="51" t="s">
        <v>123</v>
      </c>
      <c r="C77" s="51" t="s">
        <v>157</v>
      </c>
      <c r="D77" s="50">
        <v>6</v>
      </c>
      <c r="E77" s="52">
        <v>4</v>
      </c>
      <c r="F77" s="45">
        <v>1466.6669999999999</v>
      </c>
      <c r="G77" s="53">
        <v>2.6819999999999999</v>
      </c>
      <c r="H77" s="45">
        <v>9310</v>
      </c>
      <c r="I77" s="45">
        <v>2628</v>
      </c>
      <c r="J77" s="50">
        <v>1</v>
      </c>
      <c r="K77" s="50">
        <v>1</v>
      </c>
      <c r="L77" s="53">
        <v>4.2510000000000003</v>
      </c>
      <c r="M77" s="45">
        <v>6410</v>
      </c>
      <c r="N77" s="45">
        <v>9510</v>
      </c>
      <c r="O77" s="45">
        <v>0</v>
      </c>
      <c r="P77" s="45">
        <v>0</v>
      </c>
      <c r="Q77" s="45">
        <v>-200</v>
      </c>
      <c r="R77" s="45">
        <v>0</v>
      </c>
      <c r="S77" s="45">
        <v>0</v>
      </c>
      <c r="T77" s="45">
        <v>0</v>
      </c>
      <c r="U77" s="50">
        <v>1</v>
      </c>
    </row>
    <row r="78" spans="1:21" x14ac:dyDescent="0.3">
      <c r="A78" s="50">
        <v>76</v>
      </c>
      <c r="B78" s="51" t="s">
        <v>123</v>
      </c>
      <c r="C78" s="51" t="s">
        <v>157</v>
      </c>
      <c r="D78" s="50">
        <v>14</v>
      </c>
      <c r="E78" s="52">
        <v>6</v>
      </c>
      <c r="F78" s="45">
        <v>766.66700000000003</v>
      </c>
      <c r="G78" s="53">
        <v>2</v>
      </c>
      <c r="H78" s="45">
        <v>-830</v>
      </c>
      <c r="I78" s="45">
        <v>6132</v>
      </c>
      <c r="J78" s="50">
        <v>0</v>
      </c>
      <c r="K78" s="50">
        <v>0</v>
      </c>
      <c r="L78" s="53">
        <v>-0.16200000000000001</v>
      </c>
      <c r="M78" s="45">
        <v>-5679</v>
      </c>
      <c r="N78" s="45">
        <v>2380</v>
      </c>
      <c r="O78" s="45">
        <v>0</v>
      </c>
      <c r="P78" s="45">
        <v>-3210</v>
      </c>
      <c r="Q78" s="45">
        <v>0</v>
      </c>
      <c r="R78" s="45">
        <v>0</v>
      </c>
      <c r="S78" s="45">
        <v>0</v>
      </c>
      <c r="T78" s="45">
        <v>0</v>
      </c>
      <c r="U78" s="50">
        <v>0</v>
      </c>
    </row>
    <row r="79" spans="1:21" x14ac:dyDescent="0.3">
      <c r="A79" s="50">
        <v>77</v>
      </c>
      <c r="B79" s="51" t="s">
        <v>123</v>
      </c>
      <c r="C79" s="51" t="s">
        <v>157</v>
      </c>
      <c r="D79" s="50">
        <v>9</v>
      </c>
      <c r="E79" s="52">
        <v>9</v>
      </c>
      <c r="F79" s="45">
        <v>1200</v>
      </c>
      <c r="G79" s="53">
        <v>2</v>
      </c>
      <c r="H79" s="45">
        <v>9764.67</v>
      </c>
      <c r="I79" s="45">
        <v>3942</v>
      </c>
      <c r="J79" s="50">
        <v>1</v>
      </c>
      <c r="K79" s="50">
        <v>1</v>
      </c>
      <c r="L79" s="53">
        <v>2.9729999999999999</v>
      </c>
      <c r="M79" s="45">
        <v>3271.01</v>
      </c>
      <c r="N79" s="45">
        <v>8508.67</v>
      </c>
      <c r="O79" s="45">
        <v>280</v>
      </c>
      <c r="P79" s="45">
        <v>698</v>
      </c>
      <c r="Q79" s="45">
        <v>-22</v>
      </c>
      <c r="R79" s="45">
        <v>0</v>
      </c>
      <c r="S79" s="45">
        <v>300</v>
      </c>
      <c r="T79" s="45">
        <v>0</v>
      </c>
      <c r="U79" s="50">
        <v>0</v>
      </c>
    </row>
    <row r="80" spans="1:21" x14ac:dyDescent="0.3">
      <c r="A80" s="50">
        <v>78</v>
      </c>
      <c r="B80" s="51" t="s">
        <v>123</v>
      </c>
      <c r="C80" s="51" t="s">
        <v>157</v>
      </c>
      <c r="D80" s="50">
        <v>7</v>
      </c>
      <c r="E80" s="52">
        <v>4</v>
      </c>
      <c r="F80" s="45">
        <v>1050</v>
      </c>
      <c r="G80" s="53">
        <v>2</v>
      </c>
      <c r="H80" s="45">
        <v>4523.5</v>
      </c>
      <c r="I80" s="45">
        <v>3066</v>
      </c>
      <c r="J80" s="50">
        <v>1</v>
      </c>
      <c r="K80" s="50">
        <v>1</v>
      </c>
      <c r="L80" s="53">
        <v>1.77</v>
      </c>
      <c r="M80" s="45">
        <v>-878.5</v>
      </c>
      <c r="N80" s="45">
        <v>4123</v>
      </c>
      <c r="O80" s="45">
        <v>0</v>
      </c>
      <c r="P80" s="45">
        <v>0</v>
      </c>
      <c r="Q80" s="45">
        <v>-99.5</v>
      </c>
      <c r="R80" s="45">
        <v>0</v>
      </c>
      <c r="S80" s="45">
        <v>0</v>
      </c>
      <c r="T80" s="45">
        <v>500</v>
      </c>
      <c r="U80" s="50">
        <v>0</v>
      </c>
    </row>
    <row r="81" spans="1:21" x14ac:dyDescent="0.3">
      <c r="A81" s="50">
        <v>79</v>
      </c>
      <c r="B81" s="51" t="s">
        <v>123</v>
      </c>
      <c r="C81" s="51" t="s">
        <v>157</v>
      </c>
      <c r="D81" s="50">
        <v>3</v>
      </c>
      <c r="E81" s="52">
        <v>4</v>
      </c>
      <c r="F81" s="45">
        <v>996.33299999999997</v>
      </c>
      <c r="G81" s="53">
        <v>2.0009999999999999</v>
      </c>
      <c r="H81" s="45">
        <v>4799</v>
      </c>
      <c r="I81" s="45">
        <v>1314</v>
      </c>
      <c r="J81" s="50">
        <v>1</v>
      </c>
      <c r="K81" s="50">
        <v>1</v>
      </c>
      <c r="L81" s="53">
        <v>4.383</v>
      </c>
      <c r="M81" s="45">
        <v>2204</v>
      </c>
      <c r="N81" s="45">
        <v>4719</v>
      </c>
      <c r="O81" s="45">
        <v>0</v>
      </c>
      <c r="P81" s="45">
        <v>680</v>
      </c>
      <c r="Q81" s="45">
        <v>-600</v>
      </c>
      <c r="R81" s="45">
        <v>0</v>
      </c>
      <c r="S81" s="45">
        <v>0</v>
      </c>
      <c r="T81" s="45">
        <v>0</v>
      </c>
      <c r="U81" s="50">
        <v>0</v>
      </c>
    </row>
    <row r="82" spans="1:21" x14ac:dyDescent="0.3">
      <c r="A82" s="50">
        <v>80</v>
      </c>
      <c r="B82" s="51" t="s">
        <v>123</v>
      </c>
      <c r="C82" s="51" t="s">
        <v>157</v>
      </c>
      <c r="D82" s="50">
        <v>3</v>
      </c>
      <c r="E82" s="52">
        <v>4</v>
      </c>
      <c r="F82" s="45">
        <v>900</v>
      </c>
      <c r="G82" s="53">
        <v>2</v>
      </c>
      <c r="H82" s="45">
        <v>12395</v>
      </c>
      <c r="I82" s="45">
        <v>1314</v>
      </c>
      <c r="J82" s="50">
        <v>1</v>
      </c>
      <c r="K82" s="50">
        <v>1</v>
      </c>
      <c r="L82" s="53">
        <v>11.32</v>
      </c>
      <c r="M82" s="45">
        <v>10276</v>
      </c>
      <c r="N82" s="45">
        <v>3550</v>
      </c>
      <c r="O82" s="45">
        <v>0</v>
      </c>
      <c r="P82" s="45">
        <v>8990</v>
      </c>
      <c r="Q82" s="45">
        <v>-145</v>
      </c>
      <c r="R82" s="45">
        <v>0</v>
      </c>
      <c r="S82" s="45">
        <v>0</v>
      </c>
      <c r="T82" s="45">
        <v>0</v>
      </c>
      <c r="U82" s="50">
        <v>0</v>
      </c>
    </row>
    <row r="83" spans="1:21" x14ac:dyDescent="0.3">
      <c r="A83" s="50">
        <v>81</v>
      </c>
      <c r="B83" s="51" t="s">
        <v>123</v>
      </c>
      <c r="C83" s="51" t="s">
        <v>157</v>
      </c>
      <c r="D83" s="50">
        <v>13</v>
      </c>
      <c r="E83" s="52">
        <v>10</v>
      </c>
      <c r="F83" s="45">
        <v>1033.3330000000001</v>
      </c>
      <c r="G83" s="53">
        <v>2.0739999999999998</v>
      </c>
      <c r="H83" s="45">
        <v>7330</v>
      </c>
      <c r="I83" s="45">
        <v>5694</v>
      </c>
      <c r="J83" s="50">
        <v>1</v>
      </c>
      <c r="K83" s="50">
        <v>1</v>
      </c>
      <c r="L83" s="53">
        <v>1.5449999999999999</v>
      </c>
      <c r="M83" s="45">
        <v>3902</v>
      </c>
      <c r="N83" s="45">
        <v>5330</v>
      </c>
      <c r="O83" s="45">
        <v>0</v>
      </c>
      <c r="P83" s="45">
        <v>0</v>
      </c>
      <c r="Q83" s="45">
        <v>0</v>
      </c>
      <c r="R83" s="45">
        <v>0</v>
      </c>
      <c r="S83" s="45">
        <v>2000</v>
      </c>
      <c r="T83" s="45">
        <v>0</v>
      </c>
      <c r="U83" s="50">
        <v>0</v>
      </c>
    </row>
    <row r="84" spans="1:21" x14ac:dyDescent="0.3">
      <c r="A84" s="50">
        <v>82</v>
      </c>
      <c r="B84" s="51" t="s">
        <v>123</v>
      </c>
      <c r="C84" s="51" t="s">
        <v>157</v>
      </c>
      <c r="D84" s="50">
        <v>10</v>
      </c>
      <c r="E84" s="52">
        <v>3</v>
      </c>
      <c r="F84" s="45">
        <v>866.66700000000003</v>
      </c>
      <c r="G84" s="53">
        <v>2.9340000000000002</v>
      </c>
      <c r="H84" s="45">
        <v>3665</v>
      </c>
      <c r="I84" s="45">
        <v>4380</v>
      </c>
      <c r="J84" s="50">
        <v>1</v>
      </c>
      <c r="K84" s="50">
        <v>0</v>
      </c>
      <c r="L84" s="53">
        <v>1.004</v>
      </c>
      <c r="M84" s="45">
        <v>2360</v>
      </c>
      <c r="N84" s="45">
        <v>4835</v>
      </c>
      <c r="O84" s="45">
        <v>0</v>
      </c>
      <c r="P84" s="45">
        <v>-1225</v>
      </c>
      <c r="Q84" s="45">
        <v>0</v>
      </c>
      <c r="R84" s="45">
        <v>0</v>
      </c>
      <c r="S84" s="45">
        <v>0</v>
      </c>
      <c r="T84" s="45">
        <v>55</v>
      </c>
      <c r="U84" s="50">
        <v>0</v>
      </c>
    </row>
    <row r="85" spans="1:21" x14ac:dyDescent="0.3">
      <c r="A85" s="50">
        <v>83</v>
      </c>
      <c r="B85" s="51" t="s">
        <v>123</v>
      </c>
      <c r="C85" s="51" t="s">
        <v>157</v>
      </c>
      <c r="D85" s="50">
        <v>4</v>
      </c>
      <c r="E85" s="52">
        <v>2</v>
      </c>
      <c r="F85" s="45">
        <v>800</v>
      </c>
      <c r="G85" s="53">
        <v>3</v>
      </c>
      <c r="H85" s="45">
        <v>4502</v>
      </c>
      <c r="I85" s="45">
        <v>1752</v>
      </c>
      <c r="J85" s="50">
        <v>1</v>
      </c>
      <c r="K85" s="50">
        <v>1</v>
      </c>
      <c r="L85" s="53">
        <v>3.0840000000000001</v>
      </c>
      <c r="M85" s="45">
        <v>2069</v>
      </c>
      <c r="N85" s="45">
        <v>4510</v>
      </c>
      <c r="O85" s="45">
        <v>0</v>
      </c>
      <c r="P85" s="45">
        <v>0</v>
      </c>
      <c r="Q85" s="45">
        <v>-8</v>
      </c>
      <c r="R85" s="45">
        <v>0</v>
      </c>
      <c r="S85" s="45">
        <v>0</v>
      </c>
      <c r="T85" s="45">
        <v>0</v>
      </c>
      <c r="U85" s="50">
        <v>0</v>
      </c>
    </row>
    <row r="86" spans="1:21" x14ac:dyDescent="0.3">
      <c r="A86" s="50">
        <v>84</v>
      </c>
      <c r="B86" s="51" t="s">
        <v>123</v>
      </c>
      <c r="C86" s="51" t="s">
        <v>157</v>
      </c>
      <c r="D86" s="50">
        <v>4</v>
      </c>
      <c r="E86" s="52">
        <v>2</v>
      </c>
      <c r="F86" s="45">
        <v>900</v>
      </c>
      <c r="G86" s="53">
        <v>2.0219999999999998</v>
      </c>
      <c r="H86" s="45">
        <v>1610</v>
      </c>
      <c r="I86" s="45">
        <v>1752</v>
      </c>
      <c r="J86" s="50">
        <v>0</v>
      </c>
      <c r="K86" s="50">
        <v>0</v>
      </c>
      <c r="L86" s="53">
        <v>1.103</v>
      </c>
      <c r="M86" s="45">
        <v>-2370</v>
      </c>
      <c r="N86" s="45">
        <v>1610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50">
        <v>0</v>
      </c>
    </row>
    <row r="87" spans="1:21" x14ac:dyDescent="0.3">
      <c r="A87" s="50">
        <v>85</v>
      </c>
      <c r="B87" s="51" t="s">
        <v>123</v>
      </c>
      <c r="C87" s="51" t="s">
        <v>157</v>
      </c>
      <c r="D87" s="50">
        <v>5</v>
      </c>
      <c r="E87" s="52">
        <v>5</v>
      </c>
      <c r="F87" s="45">
        <v>660</v>
      </c>
      <c r="G87" s="53">
        <v>3.6970000000000001</v>
      </c>
      <c r="H87" s="45">
        <v>5945</v>
      </c>
      <c r="I87" s="45">
        <v>2190</v>
      </c>
      <c r="J87" s="50">
        <v>1</v>
      </c>
      <c r="K87" s="50">
        <v>1</v>
      </c>
      <c r="L87" s="53">
        <v>3.258</v>
      </c>
      <c r="M87" s="45">
        <v>3600</v>
      </c>
      <c r="N87" s="45">
        <v>5845</v>
      </c>
      <c r="O87" s="45">
        <v>0</v>
      </c>
      <c r="P87" s="45">
        <v>0</v>
      </c>
      <c r="Q87" s="45">
        <v>0</v>
      </c>
      <c r="R87" s="45">
        <v>0</v>
      </c>
      <c r="S87" s="45">
        <v>0</v>
      </c>
      <c r="T87" s="45">
        <v>100</v>
      </c>
      <c r="U87" s="50">
        <v>0</v>
      </c>
    </row>
    <row r="88" spans="1:21" x14ac:dyDescent="0.3">
      <c r="A88" s="50">
        <v>86</v>
      </c>
      <c r="B88" s="51" t="s">
        <v>123</v>
      </c>
      <c r="C88" s="51" t="s">
        <v>157</v>
      </c>
      <c r="D88" s="50">
        <v>9</v>
      </c>
      <c r="E88" s="52">
        <v>2</v>
      </c>
      <c r="F88" s="45">
        <v>875</v>
      </c>
      <c r="G88" s="53">
        <v>3.052</v>
      </c>
      <c r="H88" s="45">
        <v>3918</v>
      </c>
      <c r="I88" s="45">
        <v>3942</v>
      </c>
      <c r="J88" s="50">
        <v>1</v>
      </c>
      <c r="K88" s="50">
        <v>0</v>
      </c>
      <c r="L88" s="53">
        <v>1.1930000000000001</v>
      </c>
      <c r="M88" s="45">
        <v>2077</v>
      </c>
      <c r="N88" s="45">
        <v>4435</v>
      </c>
      <c r="O88" s="45">
        <v>0</v>
      </c>
      <c r="P88" s="45">
        <v>-517</v>
      </c>
      <c r="Q88" s="45">
        <v>0</v>
      </c>
      <c r="R88" s="45">
        <v>0</v>
      </c>
      <c r="S88" s="45">
        <v>0</v>
      </c>
      <c r="T88" s="45">
        <v>0</v>
      </c>
      <c r="U88" s="50">
        <v>0</v>
      </c>
    </row>
    <row r="89" spans="1:21" x14ac:dyDescent="0.3">
      <c r="A89" s="50">
        <v>87</v>
      </c>
      <c r="B89" s="51" t="s">
        <v>123</v>
      </c>
      <c r="C89" s="51" t="s">
        <v>157</v>
      </c>
      <c r="D89" s="50">
        <v>10</v>
      </c>
      <c r="E89" s="52">
        <v>6</v>
      </c>
      <c r="F89" s="45">
        <v>950</v>
      </c>
      <c r="G89" s="53">
        <v>3.27</v>
      </c>
      <c r="H89" s="45">
        <v>11809</v>
      </c>
      <c r="I89" s="45">
        <v>4380</v>
      </c>
      <c r="J89" s="50">
        <v>1</v>
      </c>
      <c r="K89" s="50">
        <v>1</v>
      </c>
      <c r="L89" s="53">
        <v>3.2349999999999999</v>
      </c>
      <c r="M89" s="45">
        <v>9244</v>
      </c>
      <c r="N89" s="45">
        <v>11340</v>
      </c>
      <c r="O89" s="45">
        <v>0</v>
      </c>
      <c r="P89" s="45">
        <v>599</v>
      </c>
      <c r="Q89" s="45">
        <v>-130</v>
      </c>
      <c r="R89" s="45">
        <v>0</v>
      </c>
      <c r="S89" s="45">
        <v>0</v>
      </c>
      <c r="T89" s="45">
        <v>0</v>
      </c>
      <c r="U89" s="50">
        <v>0</v>
      </c>
    </row>
    <row r="90" spans="1:21" x14ac:dyDescent="0.3">
      <c r="A90" s="50">
        <v>88</v>
      </c>
      <c r="B90" s="51" t="s">
        <v>123</v>
      </c>
      <c r="C90" s="51" t="s">
        <v>157</v>
      </c>
      <c r="D90" s="50">
        <v>10</v>
      </c>
      <c r="E90" s="52">
        <v>9</v>
      </c>
      <c r="F90" s="45">
        <v>800</v>
      </c>
      <c r="G90" s="53">
        <v>2.5</v>
      </c>
      <c r="H90" s="45">
        <v>8515</v>
      </c>
      <c r="I90" s="45">
        <v>4380</v>
      </c>
      <c r="J90" s="50">
        <v>1</v>
      </c>
      <c r="K90" s="50">
        <v>1</v>
      </c>
      <c r="L90" s="53">
        <v>2.3330000000000002</v>
      </c>
      <c r="M90" s="45">
        <v>6175</v>
      </c>
      <c r="N90" s="45">
        <v>7751</v>
      </c>
      <c r="O90" s="45">
        <v>0</v>
      </c>
      <c r="P90" s="45">
        <v>0</v>
      </c>
      <c r="Q90" s="45">
        <v>-36</v>
      </c>
      <c r="R90" s="45">
        <v>0</v>
      </c>
      <c r="S90" s="45">
        <v>600</v>
      </c>
      <c r="T90" s="45">
        <v>200</v>
      </c>
      <c r="U90" s="50">
        <v>0</v>
      </c>
    </row>
    <row r="92" spans="1:21" x14ac:dyDescent="0.3">
      <c r="A92" s="54" t="s">
        <v>159</v>
      </c>
    </row>
  </sheetData>
  <autoFilter ref="A2:U9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CE1DA"/>
  </sheetPr>
  <dimension ref="A1:F11"/>
  <sheetViews>
    <sheetView workbookViewId="0"/>
  </sheetViews>
  <sheetFormatPr baseColWidth="10" defaultColWidth="8.88671875" defaultRowHeight="14.4" x14ac:dyDescent="0.3"/>
  <cols>
    <col min="1" max="1" width="18" customWidth="1"/>
    <col min="2" max="2" width="12" customWidth="1"/>
    <col min="3" max="4" width="20" customWidth="1"/>
    <col min="5" max="5" width="18" customWidth="1"/>
    <col min="6" max="6" width="22" customWidth="1"/>
  </cols>
  <sheetData>
    <row r="1" spans="1:6" ht="15.6" x14ac:dyDescent="0.3">
      <c r="A1" s="55" t="s">
        <v>160</v>
      </c>
    </row>
    <row r="3" spans="1:6" x14ac:dyDescent="0.3">
      <c r="A3" s="31" t="s">
        <v>111</v>
      </c>
      <c r="B3" s="31" t="s">
        <v>161</v>
      </c>
      <c r="C3" s="31" t="s">
        <v>162</v>
      </c>
      <c r="D3" s="31" t="s">
        <v>146</v>
      </c>
      <c r="E3" s="31" t="s">
        <v>163</v>
      </c>
      <c r="F3" s="31" t="s">
        <v>164</v>
      </c>
    </row>
    <row r="4" spans="1:6" x14ac:dyDescent="0.3">
      <c r="A4" s="56" t="s">
        <v>165</v>
      </c>
      <c r="B4" s="47">
        <v>32</v>
      </c>
      <c r="C4" s="47">
        <v>177.5</v>
      </c>
      <c r="D4" s="47">
        <v>70.5</v>
      </c>
      <c r="E4" s="57">
        <f t="shared" ref="E4:E9" si="0">D4/B4</f>
        <v>2.203125</v>
      </c>
      <c r="F4" s="58">
        <f t="shared" ref="F4:F9" si="1">D4/C4</f>
        <v>0.39718309859154932</v>
      </c>
    </row>
    <row r="5" spans="1:6" x14ac:dyDescent="0.3">
      <c r="A5" s="56" t="s">
        <v>166</v>
      </c>
      <c r="B5" s="47">
        <v>11</v>
      </c>
      <c r="C5" s="47">
        <v>42</v>
      </c>
      <c r="D5" s="47">
        <v>22</v>
      </c>
      <c r="E5" s="57">
        <f t="shared" si="0"/>
        <v>2</v>
      </c>
      <c r="F5" s="58">
        <f t="shared" si="1"/>
        <v>0.52380952380952384</v>
      </c>
    </row>
    <row r="6" spans="1:6" x14ac:dyDescent="0.3">
      <c r="A6" s="56" t="s">
        <v>122</v>
      </c>
      <c r="B6" s="47">
        <v>73</v>
      </c>
      <c r="C6" s="47">
        <v>338</v>
      </c>
      <c r="D6" s="47">
        <v>119</v>
      </c>
      <c r="E6" s="57">
        <f t="shared" si="0"/>
        <v>1.6301369863013699</v>
      </c>
      <c r="F6" s="58">
        <f t="shared" si="1"/>
        <v>0.35207100591715978</v>
      </c>
    </row>
    <row r="7" spans="1:6" x14ac:dyDescent="0.3">
      <c r="A7" s="56" t="s">
        <v>123</v>
      </c>
      <c r="B7" s="47">
        <v>85</v>
      </c>
      <c r="C7" s="47">
        <v>326</v>
      </c>
      <c r="D7" s="47">
        <v>142</v>
      </c>
      <c r="E7" s="57">
        <f t="shared" si="0"/>
        <v>1.6705882352941177</v>
      </c>
      <c r="F7" s="58">
        <f t="shared" si="1"/>
        <v>0.43558282208588955</v>
      </c>
    </row>
    <row r="8" spans="1:6" x14ac:dyDescent="0.3">
      <c r="A8" s="56" t="s">
        <v>124</v>
      </c>
      <c r="B8" s="47">
        <v>100</v>
      </c>
      <c r="C8" s="47">
        <v>335.25</v>
      </c>
      <c r="D8" s="47">
        <v>169.5</v>
      </c>
      <c r="E8" s="57">
        <f t="shared" si="0"/>
        <v>1.6950000000000001</v>
      </c>
      <c r="F8" s="58">
        <f t="shared" si="1"/>
        <v>0.50559284116331094</v>
      </c>
    </row>
    <row r="9" spans="1:6" x14ac:dyDescent="0.3">
      <c r="A9" s="56" t="s">
        <v>167</v>
      </c>
      <c r="B9" s="56">
        <f>SUM(B4:B8)</f>
        <v>301</v>
      </c>
      <c r="C9" s="56">
        <f>SUM(C4:C8)</f>
        <v>1218.75</v>
      </c>
      <c r="D9" s="56">
        <f>SUM(D4:D8)</f>
        <v>523</v>
      </c>
      <c r="E9" s="57">
        <f t="shared" si="0"/>
        <v>1.7375415282392026</v>
      </c>
      <c r="F9" s="58">
        <f t="shared" si="1"/>
        <v>0.42912820512820515</v>
      </c>
    </row>
    <row r="11" spans="1:6" x14ac:dyDescent="0.3">
      <c r="A11" s="54" t="s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23A48"/>
  </sheetPr>
  <dimension ref="A1:I28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3" customWidth="1"/>
    <col min="3" max="3" width="16" customWidth="1"/>
    <col min="4" max="4" width="58" customWidth="1"/>
    <col min="5" max="5" width="11" customWidth="1"/>
    <col min="6" max="6" width="12" customWidth="1"/>
    <col min="7" max="7" width="8" customWidth="1"/>
    <col min="8" max="8" width="11" customWidth="1"/>
    <col min="9" max="9" width="60" customWidth="1"/>
  </cols>
  <sheetData>
    <row r="1" spans="1:9" ht="15.6" x14ac:dyDescent="0.3">
      <c r="A1" s="59" t="s">
        <v>169</v>
      </c>
    </row>
    <row r="2" spans="1:9" x14ac:dyDescent="0.3">
      <c r="A2" s="56" t="s">
        <v>170</v>
      </c>
    </row>
    <row r="3" spans="1:9" x14ac:dyDescent="0.3">
      <c r="A3" s="60" t="s">
        <v>171</v>
      </c>
      <c r="B3" s="60" t="s">
        <v>172</v>
      </c>
      <c r="C3" s="60" t="s">
        <v>173</v>
      </c>
      <c r="D3" s="60" t="s">
        <v>174</v>
      </c>
      <c r="E3" s="60" t="s">
        <v>175</v>
      </c>
      <c r="F3" s="60" t="s">
        <v>176</v>
      </c>
      <c r="G3" s="60" t="s">
        <v>177</v>
      </c>
      <c r="H3" s="60" t="s">
        <v>178</v>
      </c>
      <c r="I3" s="60" t="s">
        <v>179</v>
      </c>
    </row>
    <row r="4" spans="1:9" x14ac:dyDescent="0.3">
      <c r="A4" s="61">
        <v>9</v>
      </c>
      <c r="B4" s="61" t="s">
        <v>180</v>
      </c>
      <c r="C4" s="61" t="s">
        <v>181</v>
      </c>
      <c r="D4" s="61" t="s">
        <v>182</v>
      </c>
      <c r="E4" s="62">
        <v>42433</v>
      </c>
      <c r="F4" s="62">
        <v>42433</v>
      </c>
      <c r="G4" s="63">
        <f t="shared" ref="G4:G26" si="0">IFERROR(E4/F4,0)</f>
        <v>1</v>
      </c>
      <c r="H4" s="61" t="s">
        <v>183</v>
      </c>
      <c r="I4" s="61" t="s">
        <v>184</v>
      </c>
    </row>
    <row r="5" spans="1:9" x14ac:dyDescent="0.3">
      <c r="A5" s="61">
        <v>10</v>
      </c>
      <c r="B5" s="61" t="s">
        <v>180</v>
      </c>
      <c r="C5" s="61" t="s">
        <v>181</v>
      </c>
      <c r="D5" s="61" t="s">
        <v>185</v>
      </c>
      <c r="E5" s="62">
        <v>42433</v>
      </c>
      <c r="F5" s="62">
        <v>42433</v>
      </c>
      <c r="G5" s="63">
        <f t="shared" si="0"/>
        <v>1</v>
      </c>
      <c r="H5" s="61" t="s">
        <v>183</v>
      </c>
      <c r="I5" s="61" t="s">
        <v>186</v>
      </c>
    </row>
    <row r="6" spans="1:9" x14ac:dyDescent="0.3">
      <c r="A6" s="61">
        <v>11</v>
      </c>
      <c r="B6" s="61" t="s">
        <v>180</v>
      </c>
      <c r="C6" s="61" t="s">
        <v>181</v>
      </c>
      <c r="D6" s="61" t="s">
        <v>187</v>
      </c>
      <c r="E6" s="62">
        <v>42433</v>
      </c>
      <c r="F6" s="62">
        <v>42433</v>
      </c>
      <c r="G6" s="63">
        <f t="shared" si="0"/>
        <v>1</v>
      </c>
      <c r="H6" s="61" t="s">
        <v>183</v>
      </c>
      <c r="I6" s="61" t="s">
        <v>188</v>
      </c>
    </row>
    <row r="7" spans="1:9" x14ac:dyDescent="0.3">
      <c r="A7" s="61">
        <v>16</v>
      </c>
      <c r="B7" s="61" t="s">
        <v>189</v>
      </c>
      <c r="C7" s="61" t="s">
        <v>181</v>
      </c>
      <c r="D7" s="61" t="s">
        <v>190</v>
      </c>
      <c r="E7" s="62">
        <v>88</v>
      </c>
      <c r="F7" s="62">
        <v>88</v>
      </c>
      <c r="G7" s="63">
        <f t="shared" si="0"/>
        <v>1</v>
      </c>
      <c r="H7" s="61" t="s">
        <v>183</v>
      </c>
      <c r="I7" s="61" t="s">
        <v>191</v>
      </c>
    </row>
    <row r="8" spans="1:9" x14ac:dyDescent="0.3">
      <c r="A8" s="61">
        <v>1</v>
      </c>
      <c r="B8" s="61" t="s">
        <v>180</v>
      </c>
      <c r="C8" s="61" t="s">
        <v>192</v>
      </c>
      <c r="D8" s="61" t="s">
        <v>193</v>
      </c>
      <c r="E8" s="62">
        <v>15430</v>
      </c>
      <c r="F8" s="62">
        <v>42433</v>
      </c>
      <c r="G8" s="63">
        <f t="shared" si="0"/>
        <v>0.36363207880658921</v>
      </c>
      <c r="H8" s="61" t="s">
        <v>194</v>
      </c>
      <c r="I8" s="61" t="s">
        <v>195</v>
      </c>
    </row>
    <row r="9" spans="1:9" x14ac:dyDescent="0.3">
      <c r="A9" s="61">
        <v>4</v>
      </c>
      <c r="B9" s="61" t="s">
        <v>180</v>
      </c>
      <c r="C9" s="61" t="s">
        <v>192</v>
      </c>
      <c r="D9" s="61" t="s">
        <v>196</v>
      </c>
      <c r="E9" s="62">
        <v>6016</v>
      </c>
      <c r="F9" s="62">
        <v>42433</v>
      </c>
      <c r="G9" s="63">
        <f t="shared" si="0"/>
        <v>0.14177644757617891</v>
      </c>
      <c r="H9" s="61" t="s">
        <v>194</v>
      </c>
      <c r="I9" s="61" t="s">
        <v>197</v>
      </c>
    </row>
    <row r="10" spans="1:9" x14ac:dyDescent="0.3">
      <c r="A10" s="61">
        <v>7</v>
      </c>
      <c r="B10" s="61" t="s">
        <v>180</v>
      </c>
      <c r="C10" s="61" t="s">
        <v>198</v>
      </c>
      <c r="D10" s="61" t="s">
        <v>199</v>
      </c>
      <c r="E10" s="62">
        <v>2099</v>
      </c>
      <c r="F10" s="62">
        <v>42433</v>
      </c>
      <c r="G10" s="63">
        <f t="shared" si="0"/>
        <v>4.9466217330850985E-2</v>
      </c>
      <c r="H10" s="61" t="s">
        <v>194</v>
      </c>
      <c r="I10" s="61" t="s">
        <v>200</v>
      </c>
    </row>
    <row r="11" spans="1:9" x14ac:dyDescent="0.3">
      <c r="A11" s="61">
        <v>12</v>
      </c>
      <c r="B11" s="61" t="s">
        <v>180</v>
      </c>
      <c r="C11" s="61" t="s">
        <v>181</v>
      </c>
      <c r="D11" s="61" t="s">
        <v>201</v>
      </c>
      <c r="E11" s="62">
        <v>38250</v>
      </c>
      <c r="F11" s="62">
        <v>42433</v>
      </c>
      <c r="G11" s="63">
        <f t="shared" si="0"/>
        <v>0.90142106379468812</v>
      </c>
      <c r="H11" s="61" t="s">
        <v>194</v>
      </c>
      <c r="I11" s="61" t="s">
        <v>202</v>
      </c>
    </row>
    <row r="12" spans="1:9" x14ac:dyDescent="0.3">
      <c r="A12" s="61">
        <v>13</v>
      </c>
      <c r="B12" s="61" t="s">
        <v>180</v>
      </c>
      <c r="C12" s="61" t="s">
        <v>203</v>
      </c>
      <c r="D12" s="61" t="s">
        <v>204</v>
      </c>
      <c r="E12" s="62">
        <v>8047</v>
      </c>
      <c r="F12" s="62">
        <v>42433</v>
      </c>
      <c r="G12" s="63">
        <f t="shared" si="0"/>
        <v>0.18964013857139492</v>
      </c>
      <c r="H12" s="61" t="s">
        <v>194</v>
      </c>
      <c r="I12" s="61" t="s">
        <v>205</v>
      </c>
    </row>
    <row r="13" spans="1:9" x14ac:dyDescent="0.3">
      <c r="A13" s="61">
        <v>15</v>
      </c>
      <c r="B13" s="61" t="s">
        <v>180</v>
      </c>
      <c r="C13" s="61" t="s">
        <v>203</v>
      </c>
      <c r="D13" s="61" t="s">
        <v>206</v>
      </c>
      <c r="E13" s="62">
        <v>4922</v>
      </c>
      <c r="F13" s="62">
        <v>9326</v>
      </c>
      <c r="G13" s="63">
        <f t="shared" si="0"/>
        <v>0.52777182071627704</v>
      </c>
      <c r="H13" s="61" t="s">
        <v>194</v>
      </c>
      <c r="I13" s="61" t="s">
        <v>207</v>
      </c>
    </row>
    <row r="14" spans="1:9" x14ac:dyDescent="0.3">
      <c r="A14" s="61">
        <v>20</v>
      </c>
      <c r="B14" s="61" t="s">
        <v>189</v>
      </c>
      <c r="C14" s="61" t="s">
        <v>208</v>
      </c>
      <c r="D14" s="61" t="s">
        <v>209</v>
      </c>
      <c r="E14" s="62">
        <v>6</v>
      </c>
      <c r="F14" s="62">
        <v>88</v>
      </c>
      <c r="G14" s="63">
        <f t="shared" si="0"/>
        <v>6.8181818181818177E-2</v>
      </c>
      <c r="H14" s="61" t="s">
        <v>194</v>
      </c>
      <c r="I14" s="61" t="s">
        <v>210</v>
      </c>
    </row>
    <row r="15" spans="1:9" x14ac:dyDescent="0.3">
      <c r="A15" s="61">
        <v>2</v>
      </c>
      <c r="B15" s="61" t="s">
        <v>180</v>
      </c>
      <c r="C15" s="61" t="s">
        <v>192</v>
      </c>
      <c r="D15" s="61" t="s">
        <v>211</v>
      </c>
      <c r="E15" s="62">
        <v>19237</v>
      </c>
      <c r="F15" s="62">
        <v>42433</v>
      </c>
      <c r="G15" s="63">
        <f t="shared" si="0"/>
        <v>0.45334998703838991</v>
      </c>
      <c r="H15" s="61" t="s">
        <v>212</v>
      </c>
      <c r="I15" s="61"/>
    </row>
    <row r="16" spans="1:9" x14ac:dyDescent="0.3">
      <c r="A16" s="61">
        <v>3</v>
      </c>
      <c r="B16" s="61" t="s">
        <v>180</v>
      </c>
      <c r="C16" s="61" t="s">
        <v>192</v>
      </c>
      <c r="D16" s="61" t="s">
        <v>213</v>
      </c>
      <c r="E16" s="62">
        <v>9454</v>
      </c>
      <c r="F16" s="62">
        <v>42433</v>
      </c>
      <c r="G16" s="63">
        <f t="shared" si="0"/>
        <v>0.22279829378078383</v>
      </c>
      <c r="H16" s="61" t="s">
        <v>212</v>
      </c>
      <c r="I16" s="61"/>
    </row>
    <row r="17" spans="1:9" x14ac:dyDescent="0.3">
      <c r="A17" s="61">
        <v>8</v>
      </c>
      <c r="B17" s="61" t="s">
        <v>180</v>
      </c>
      <c r="C17" s="61" t="s">
        <v>203</v>
      </c>
      <c r="D17" s="61" t="s">
        <v>214</v>
      </c>
      <c r="E17" s="62">
        <v>2305</v>
      </c>
      <c r="F17" s="62">
        <v>29252</v>
      </c>
      <c r="G17" s="63">
        <f t="shared" si="0"/>
        <v>7.8798030903869817E-2</v>
      </c>
      <c r="H17" s="61" t="s">
        <v>212</v>
      </c>
      <c r="I17" s="61" t="s">
        <v>215</v>
      </c>
    </row>
    <row r="18" spans="1:9" x14ac:dyDescent="0.3">
      <c r="A18" s="61">
        <v>14</v>
      </c>
      <c r="B18" s="61" t="s">
        <v>180</v>
      </c>
      <c r="C18" s="61" t="s">
        <v>203</v>
      </c>
      <c r="D18" s="61" t="s">
        <v>216</v>
      </c>
      <c r="E18" s="62">
        <v>4183</v>
      </c>
      <c r="F18" s="62">
        <v>42433</v>
      </c>
      <c r="G18" s="63">
        <f t="shared" si="0"/>
        <v>9.8578936205311898E-2</v>
      </c>
      <c r="H18" s="61" t="s">
        <v>212</v>
      </c>
      <c r="I18" s="61"/>
    </row>
    <row r="19" spans="1:9" x14ac:dyDescent="0.3">
      <c r="A19" s="61">
        <v>19</v>
      </c>
      <c r="B19" s="61" t="s">
        <v>189</v>
      </c>
      <c r="C19" s="61" t="s">
        <v>181</v>
      </c>
      <c r="D19" s="61" t="s">
        <v>217</v>
      </c>
      <c r="E19" s="62">
        <v>6</v>
      </c>
      <c r="F19" s="62">
        <v>88</v>
      </c>
      <c r="G19" s="63">
        <f t="shared" si="0"/>
        <v>6.8181818181818177E-2</v>
      </c>
      <c r="H19" s="61" t="s">
        <v>212</v>
      </c>
      <c r="I19" s="61" t="s">
        <v>218</v>
      </c>
    </row>
    <row r="20" spans="1:9" x14ac:dyDescent="0.3">
      <c r="A20" s="61">
        <v>21</v>
      </c>
      <c r="B20" s="61" t="s">
        <v>219</v>
      </c>
      <c r="C20" s="61" t="s">
        <v>198</v>
      </c>
      <c r="D20" s="61" t="s">
        <v>220</v>
      </c>
      <c r="E20" s="62">
        <v>28</v>
      </c>
      <c r="F20" s="62">
        <v>301</v>
      </c>
      <c r="G20" s="63">
        <f t="shared" si="0"/>
        <v>9.3023255813953487E-2</v>
      </c>
      <c r="H20" s="61" t="s">
        <v>212</v>
      </c>
      <c r="I20" s="61"/>
    </row>
    <row r="21" spans="1:9" x14ac:dyDescent="0.3">
      <c r="A21" s="61">
        <v>22</v>
      </c>
      <c r="B21" s="61" t="s">
        <v>219</v>
      </c>
      <c r="C21" s="61" t="s">
        <v>203</v>
      </c>
      <c r="D21" s="61" t="s">
        <v>221</v>
      </c>
      <c r="E21" s="62">
        <v>4</v>
      </c>
      <c r="F21" s="62">
        <v>301</v>
      </c>
      <c r="G21" s="63">
        <f t="shared" si="0"/>
        <v>1.3289036544850499E-2</v>
      </c>
      <c r="H21" s="61" t="s">
        <v>212</v>
      </c>
      <c r="I21" s="61"/>
    </row>
    <row r="22" spans="1:9" x14ac:dyDescent="0.3">
      <c r="A22" s="61">
        <v>23</v>
      </c>
      <c r="B22" s="61" t="s">
        <v>219</v>
      </c>
      <c r="C22" s="61" t="s">
        <v>181</v>
      </c>
      <c r="D22" s="61" t="s">
        <v>222</v>
      </c>
      <c r="E22" s="62">
        <v>228</v>
      </c>
      <c r="F22" s="62">
        <v>301</v>
      </c>
      <c r="G22" s="63">
        <f t="shared" si="0"/>
        <v>0.75747508305647837</v>
      </c>
      <c r="H22" s="61" t="s">
        <v>212</v>
      </c>
      <c r="I22" s="61"/>
    </row>
    <row r="23" spans="1:9" x14ac:dyDescent="0.3">
      <c r="A23" s="61">
        <v>5</v>
      </c>
      <c r="B23" s="61" t="s">
        <v>180</v>
      </c>
      <c r="C23" s="61" t="s">
        <v>192</v>
      </c>
      <c r="D23" s="61" t="s">
        <v>223</v>
      </c>
      <c r="E23" s="62">
        <v>12255</v>
      </c>
      <c r="F23" s="62">
        <v>42433</v>
      </c>
      <c r="G23" s="63">
        <f t="shared" si="0"/>
        <v>0.28880823887069024</v>
      </c>
      <c r="H23" s="61" t="s">
        <v>224</v>
      </c>
      <c r="I23" s="61"/>
    </row>
    <row r="24" spans="1:9" x14ac:dyDescent="0.3">
      <c r="A24" s="61">
        <v>6</v>
      </c>
      <c r="B24" s="61" t="s">
        <v>180</v>
      </c>
      <c r="C24" s="61" t="s">
        <v>192</v>
      </c>
      <c r="D24" s="61" t="s">
        <v>225</v>
      </c>
      <c r="E24" s="62">
        <v>441</v>
      </c>
      <c r="F24" s="62">
        <v>42433</v>
      </c>
      <c r="G24" s="63">
        <f t="shared" si="0"/>
        <v>1.0392854617868168E-2</v>
      </c>
      <c r="H24" s="61" t="s">
        <v>224</v>
      </c>
      <c r="I24" s="61"/>
    </row>
    <row r="25" spans="1:9" x14ac:dyDescent="0.3">
      <c r="A25" s="61">
        <v>17</v>
      </c>
      <c r="B25" s="61" t="s">
        <v>189</v>
      </c>
      <c r="C25" s="61" t="s">
        <v>192</v>
      </c>
      <c r="D25" s="61" t="s">
        <v>226</v>
      </c>
      <c r="E25" s="62">
        <v>2</v>
      </c>
      <c r="F25" s="62">
        <v>90</v>
      </c>
      <c r="G25" s="63">
        <f t="shared" si="0"/>
        <v>2.2222222222222223E-2</v>
      </c>
      <c r="H25" s="61" t="s">
        <v>224</v>
      </c>
      <c r="I25" s="61" t="s">
        <v>227</v>
      </c>
    </row>
    <row r="26" spans="1:9" x14ac:dyDescent="0.3">
      <c r="A26" s="61">
        <v>18</v>
      </c>
      <c r="B26" s="61" t="s">
        <v>189</v>
      </c>
      <c r="C26" s="61" t="s">
        <v>203</v>
      </c>
      <c r="D26" s="61" t="s">
        <v>228</v>
      </c>
      <c r="E26" s="62">
        <v>3</v>
      </c>
      <c r="F26" s="62">
        <v>88</v>
      </c>
      <c r="G26" s="63">
        <f t="shared" si="0"/>
        <v>3.4090909090909088E-2</v>
      </c>
      <c r="H26" s="61" t="s">
        <v>224</v>
      </c>
      <c r="I26" s="61" t="s">
        <v>229</v>
      </c>
    </row>
    <row r="28" spans="1:9" x14ac:dyDescent="0.3">
      <c r="A28" s="28" t="s">
        <v>230</v>
      </c>
    </row>
  </sheetData>
  <autoFilter ref="A3:I26" xr:uid="{00000000-0009-0000-0000-000006000000}"/>
  <conditionalFormatting sqref="H4:H26">
    <cfRule type="expression" dxfId="3" priority="1">
      <formula>$H4="Critique"</formula>
    </cfRule>
    <cfRule type="expression" dxfId="2" priority="2">
      <formula>$H4="Élevée"</formula>
    </cfRule>
    <cfRule type="expression" dxfId="1" priority="3">
      <formula>$H4="Moyenne"</formula>
    </cfRule>
    <cfRule type="expression" dxfId="0" priority="4">
      <formula>$H4="Faible"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CE1DA"/>
  </sheetPr>
  <dimension ref="A1:C7"/>
  <sheetViews>
    <sheetView workbookViewId="0"/>
  </sheetViews>
  <sheetFormatPr baseColWidth="10" defaultColWidth="8.88671875" defaultRowHeight="14.4" x14ac:dyDescent="0.3"/>
  <cols>
    <col min="1" max="1" width="44" customWidth="1"/>
    <col min="2" max="2" width="12" customWidth="1"/>
    <col min="3" max="3" width="110" customWidth="1"/>
  </cols>
  <sheetData>
    <row r="1" spans="1:3" ht="17.399999999999999" x14ac:dyDescent="0.3">
      <c r="A1" s="64" t="s">
        <v>231</v>
      </c>
    </row>
    <row r="3" spans="1:3" x14ac:dyDescent="0.3">
      <c r="A3" s="31" t="s">
        <v>232</v>
      </c>
      <c r="B3" s="31" t="s">
        <v>233</v>
      </c>
      <c r="C3" s="31" t="s">
        <v>94</v>
      </c>
    </row>
    <row r="4" spans="1:3" x14ac:dyDescent="0.3">
      <c r="A4" s="49" t="s">
        <v>234</v>
      </c>
      <c r="B4" s="45">
        <v>2628</v>
      </c>
      <c r="C4" s="65" t="s">
        <v>235</v>
      </c>
    </row>
    <row r="5" spans="1:3" x14ac:dyDescent="0.3">
      <c r="A5" s="49" t="s">
        <v>236</v>
      </c>
      <c r="B5" s="47">
        <v>6</v>
      </c>
      <c r="C5" s="65" t="s">
        <v>237</v>
      </c>
    </row>
    <row r="6" spans="1:3" x14ac:dyDescent="0.3">
      <c r="A6" s="49" t="s">
        <v>238</v>
      </c>
      <c r="B6" s="53">
        <v>2.15</v>
      </c>
      <c r="C6" s="65" t="s">
        <v>239</v>
      </c>
    </row>
    <row r="7" spans="1:3" x14ac:dyDescent="0.3">
      <c r="A7" s="49" t="s">
        <v>240</v>
      </c>
      <c r="B7" s="47">
        <v>30</v>
      </c>
      <c r="C7" s="65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Lisez-moi</vt:lpstr>
      <vt:lpstr>Dashboard</vt:lpstr>
      <vt:lpstr>Séries</vt:lpstr>
      <vt:lpstr>Café_données</vt:lpstr>
      <vt:lpstr>Cacao_ménages</vt:lpstr>
      <vt:lpstr>Okapi</vt:lpstr>
      <vt:lpstr>Qualité</vt:lpstr>
      <vt:lpstr>Paramètres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Lucien Buzera</cp:lastModifiedBy>
  <dcterms:created xsi:type="dcterms:W3CDTF">2026-09-30T15:12:17Z</dcterms:created>
  <dcterms:modified xsi:type="dcterms:W3CDTF">2026-09-30T15:12:56Z</dcterms:modified>
</cp:coreProperties>
</file>